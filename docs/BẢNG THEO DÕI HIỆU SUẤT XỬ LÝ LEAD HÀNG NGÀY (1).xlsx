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Default Extension="rels" ContentType="application/vnd.openxmlformats-package.relationships+xml"/>
  <Default Extension="xml" ContentType="application/xml"/>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Lead Logs" sheetId="2" r:id="rId5"/>
    <sheet name="Daily"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6129a8df-d459-46be-9609-7e8e81a88a68}">
      <text>
        <r>
          <t xml:space="preserve">Unreachable: Không liên lạc được
Rejected:Từ chối
Bad Fit: Không phù hợp
Timing: Chưa đúng thời điểm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<sst xmlns="http://schemas.openxmlformats.org/spreadsheetml/2006/main" count="1" uniqueCount="1">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</sst>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dd/mm/yyyy"/>
    <numFmt numFmtId="165" formatCode="dd/mm/yyyy"/>
    <numFmt numFmtId="166" formatCode="dd/mm/yyyy"/>
    <numFmt numFmtId="167" formatCode="dd/mm/yyyy"/>
    <numFmt numFmtId="168" formatCode="dd/mm/yyyy"/>
    <numFmt numFmtId="169" formatCode="dd/mm/yyyy"/>
    <numFmt numFmtId="170" formatCode="dd/mm/yyyy"/>
    <numFmt numFmtId="171" formatCode="dd/mm/yyyy"/>
    <numFmt numFmtId="172" formatCode="dd/mm/yyyy"/>
    <numFmt numFmtId="173" formatCode="dd/mm/yyyy"/>
    <numFmt numFmtId="174" formatCode="dd/mm/yyyy"/>
    <numFmt numFmtId="175" formatCode="dd/mm/yyyy"/>
    <numFmt numFmtId="176" formatCode="yyyy-mm-dd"/>
    <numFmt numFmtId="177" formatCode="0%"/>
    <numFmt numFmtId="178" formatCode="0%"/>
    <numFmt numFmtId="179" formatCode="0%"/>
    <numFmt numFmtId="180" formatCode="0%"/>
    <numFmt numFmtId="181" formatCode="0%"/>
    <numFmt numFmtId="182" formatCode="0%"/>
  </numFmts>
  <fonts count="7">
    <font>
      <sz val="10"/>
      <color theme="1"/>
      <name val="Calibri"/>
      <family val="2"/>
      <scheme val="minor"/>
    </font>
    <font>
      <sz val="10"/>
      <color rgb="FF1F2329"/>
      <name val="Calibri"/>
      <family val="2"/>
      <scheme val="minor"/>
    </font>
    <font>
      <sz val="10"/>
      <color rgb="FF000000"/>
      <name val="Calibri"/>
      <family val="2"/>
      <scheme val="minor"/>
    </font>
    <font>
      <b val="true"/>
      <sz val="10"/>
      <color rgb="FF1F2329"/>
      <name val="Calibri"/>
      <family val="2"/>
      <scheme val="minor"/>
    </font>
    <font>
      <sz val="10"/>
      <color rgb="FF000000"/>
      <name val="Calibri"/>
      <family val="2"/>
      <scheme val="minor"/>
    </font>
    <font>
      <b val="true"/>
      <sz val="10"/>
      <color rgb="FF000000"/>
      <name val="Calibri"/>
      <family val="2"/>
      <scheme val="minor"/>
    </font>
    <font>
      <b val="true"/>
      <sz val="10"/>
      <color rgb="FF000000"/>
      <name val="Calibri"/>
      <family val="2"/>
      <scheme val="minor"/>
    </font>
  </fonts>
  <fills count="23">
    <fill>
      <patternFill patternType="none">
        <fgColor/>
        <bgColor/>
      </patternFill>
    </fill>
    <fill>
      <patternFill patternType="gray125">
        <fgColor/>
        <bgColor/>
      </patternFill>
    </fill>
    <fill>
      <patternFill patternType="solid">
        <fgColor rgb="FFD9F5D6"/>
        <bgColor/>
      </patternFill>
    </fill>
    <fill>
      <patternFill patternType="solid">
        <fgColor rgb="FFFBBFBC"/>
        <bgColor/>
      </patternFill>
    </fill>
    <fill>
      <patternFill patternType="solid">
        <fgColor rgb="FFFAF1D1"/>
        <bgColor/>
      </patternFill>
    </fill>
    <fill>
      <patternFill patternType="solid">
        <fgColor rgb="FFD9F5D6"/>
        <bgColor/>
      </patternFill>
    </fill>
    <fill>
      <patternFill patternType="solid">
        <fgColor rgb="FFD9F5D6"/>
        <bgColor/>
      </patternFill>
    </fill>
    <fill>
      <patternFill patternType="solid">
        <fgColor rgb="FFFBBFBC"/>
        <bgColor/>
      </patternFill>
    </fill>
    <fill>
      <patternFill patternType="solid">
        <fgColor rgb="FFFBBFBC"/>
        <bgColor/>
      </patternFill>
    </fill>
    <fill>
      <patternFill patternType="solid">
        <fgColor rgb="FFFAF1D1"/>
        <bgColor/>
      </patternFill>
    </fill>
    <fill>
      <patternFill patternType="solid">
        <fgColor rgb="FFFAF1D1"/>
        <bgColor/>
      </patternFill>
    </fill>
    <fill>
      <patternFill patternType="solid">
        <fgColor rgb="FFD9F5D6"/>
        <bgColor/>
      </patternFill>
    </fill>
    <fill>
      <patternFill patternType="solid">
        <fgColor rgb="FFFBBFBC"/>
        <bgColor/>
      </patternFill>
    </fill>
    <fill>
      <patternFill patternType="solid">
        <fgColor rgb="FFFAF1D1"/>
        <bgColor/>
      </patternFill>
    </fill>
    <fill>
      <patternFill patternType="solid">
        <fgColor rgb="FFFBBFBC"/>
        <bgColor/>
      </patternFill>
    </fill>
    <fill>
      <patternFill patternType="solid">
        <fgColor rgb="FFFAF1D1"/>
        <bgColor/>
      </patternFill>
    </fill>
    <fill>
      <patternFill patternType="solid">
        <fgColor rgb="FFD9F5D6"/>
        <bgColor/>
      </patternFill>
    </fill>
    <fill>
      <patternFill patternType="solid">
        <fgColor rgb="FFFBBFBC"/>
        <bgColor/>
      </patternFill>
    </fill>
    <fill>
      <patternFill patternType="solid">
        <fgColor rgb="FFFAF1D1"/>
        <bgColor/>
      </patternFill>
    </fill>
    <fill>
      <patternFill patternType="solid">
        <fgColor rgb="FFD9F5D6"/>
        <bgColor/>
      </patternFill>
    </fill>
    <fill>
      <patternFill patternType="solid">
        <fgColor rgb="FFFBBFBC"/>
        <bgColor/>
      </patternFill>
    </fill>
    <fill>
      <patternFill patternType="solid">
        <fgColor rgb="FFFAF1D1"/>
        <bgColor/>
      </patternFill>
    </fill>
    <fill>
      <patternFill patternType="solid">
        <fgColor rgb="FFD9F5D6"/>
        <bgColor/>
      </patternFill>
    </fill>
  </fills>
  <borders count="46">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bottom/>
      <diagonal/>
    </border>
    <border>
      <left style="thin">
        <color rgb="FF1F2329"/>
      </left>
      <right style="thin">
        <color rgb="FF1F2329"/>
      </right>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46">
    <xf applyAlignment="false" applyBorder="false" applyFill="false" applyFont="false" applyNumberFormat="false" applyProtection="false" borderId="0" fillId="0" fontId="0" numFmtId="0" xfId="0">
      <alignment vertical="center"/>
    </xf>
    <xf applyAlignment="true" applyBorder="false" applyFill="false" applyFont="true" applyNumberFormat="true" applyProtection="false" borderId="1" fillId="0" fontId="1" numFmtId="164" xfId="0">
      <alignment horizontal="right" vertical="center" wrapText="true"/>
    </xf>
    <xf applyAlignment="true" applyBorder="false" applyFill="false" applyFont="true" applyNumberFormat="false" applyProtection="false" borderId="2" fillId="0" fontId="1" numFmtId="0" xfId="0">
      <alignment vertical="center"/>
    </xf>
    <xf applyAlignment="true" applyBorder="false" applyFill="false" applyFont="true" applyNumberFormat="true" applyProtection="false" borderId="3" fillId="0" fontId="1" numFmtId="165" xfId="0">
      <alignment horizontal="right" vertical="center"/>
    </xf>
    <xf applyAlignment="true" applyBorder="false" applyFill="false" applyFont="true" applyNumberFormat="false" applyProtection="false" borderId="4" fillId="0" fontId="1" numFmtId="0" xfId="0">
      <alignment vertical="center" wrapText="true"/>
    </xf>
    <xf applyAlignment="true" applyBorder="false" applyFill="false" applyFont="true" applyNumberFormat="false" applyProtection="false" borderId="5" fillId="0" fontId="1" numFmtId="0" xfId="0">
      <alignment vertical="center" wrapText="true"/>
    </xf>
    <xf applyAlignment="true" applyBorder="false" applyFill="false" applyFont="true" applyNumberFormat="true" applyProtection="false" borderId="6" fillId="0" fontId="1" numFmtId="166" xfId="0">
      <alignment horizontal="right" vertical="center"/>
    </xf>
    <xf applyAlignment="true" applyBorder="false" applyFill="false" applyFont="true" applyNumberFormat="false" applyProtection="false" borderId="7" fillId="0" fontId="2" numFmtId="0" xfId="0">
      <alignment vertical="center" wrapText="true"/>
    </xf>
    <xf applyAlignment="true" applyBorder="false" applyFill="false" applyFont="true" applyNumberFormat="true" applyProtection="false" borderId="8" fillId="0" fontId="2" numFmtId="167" xfId="0">
      <alignment horizontal="right" vertical="center" wrapText="true"/>
    </xf>
    <xf applyAlignment="true" applyBorder="false" applyFill="false" applyFont="true" applyNumberFormat="true" applyProtection="false" borderId="9" fillId="0" fontId="2" numFmtId="168" xfId="0">
      <alignment horizontal="right" vertical="center" wrapText="true"/>
    </xf>
    <xf applyAlignment="true" applyBorder="false" applyFill="false" applyFont="true" applyNumberFormat="false" applyProtection="false" borderId="10" fillId="0" fontId="1" numFmtId="0" xfId="0">
      <alignment vertical="center"/>
    </xf>
    <xf applyAlignment="true" applyBorder="false" applyFill="false" applyFont="true" applyNumberFormat="true" applyProtection="false" borderId="11" fillId="0" fontId="2" numFmtId="169" xfId="0">
      <alignment horizontal="right" vertical="center" wrapText="true"/>
    </xf>
    <xf applyAlignment="true" applyBorder="false" applyFill="false" applyFont="true" applyNumberFormat="false" applyProtection="false" borderId="12" fillId="0" fontId="1" numFmtId="0" xfId="0">
      <alignment vertical="center"/>
    </xf>
    <xf applyAlignment="true" applyBorder="false" applyFill="false" applyFont="true" applyNumberFormat="false" applyProtection="false" borderId="13" fillId="0" fontId="1" numFmtId="0" xfId="0">
      <alignment vertical="center" wrapText="true"/>
    </xf>
    <xf applyAlignment="true" applyBorder="false" applyFill="false" applyFont="true" applyNumberFormat="false" applyProtection="false" borderId="14" fillId="0" fontId="1" numFmtId="0" xfId="0">
      <alignment vertical="center" wrapText="true"/>
    </xf>
    <xf applyAlignment="true" applyBorder="false" applyFill="false" applyFont="true" applyNumberFormat="true" applyProtection="false" borderId="15" fillId="0" fontId="1" numFmtId="170" xfId="0">
      <alignment horizontal="right" vertical="center"/>
    </xf>
    <xf applyAlignment="true" applyBorder="false" applyFill="false" applyFont="true" applyNumberFormat="false" applyProtection="false" borderId="16" fillId="0" fontId="3" numFmtId="0" xfId="0">
      <alignment vertical="center" wrapText="true"/>
    </xf>
    <xf applyAlignment="true" applyBorder="false" applyFill="false" applyFont="true" applyNumberFormat="true" applyProtection="false" borderId="17" fillId="0" fontId="3" numFmtId="171" xfId="0">
      <alignment horizontal="right" vertical="center" wrapText="true"/>
    </xf>
    <xf applyAlignment="true" applyBorder="false" applyFill="false" applyFont="true" applyNumberFormat="true" applyProtection="false" borderId="18" fillId="0" fontId="1" numFmtId="172" xfId="0">
      <alignment horizontal="right" vertical="center"/>
    </xf>
    <xf applyAlignment="true" applyBorder="false" applyFill="false" applyFont="true" applyNumberFormat="true" applyProtection="false" borderId="19" fillId="0" fontId="1" numFmtId="173" xfId="0">
      <alignment horizontal="right" vertical="center"/>
    </xf>
    <xf applyAlignment="true" applyBorder="false" applyFill="false" applyFont="true" applyNumberFormat="true" applyProtection="false" borderId="20" fillId="0" fontId="1" numFmtId="174" xfId="0">
      <alignment horizontal="right" vertical="center"/>
    </xf>
    <xf applyAlignment="true" applyBorder="false" applyFill="false" applyFont="true" applyNumberFormat="true" applyProtection="false" borderId="21" fillId="0" fontId="2" numFmtId="175" xfId="0">
      <alignment horizontal="right" vertical="center" wrapText="true"/>
    </xf>
    <xf applyAlignment="true" applyBorder="false" applyFill="false" applyFont="true" applyNumberFormat="false" applyProtection="false" borderId="22" fillId="0" fontId="1" numFmtId="0" xfId="0">
      <alignment vertical="center"/>
    </xf>
    <xf applyAlignment="true" applyBorder="false" applyFill="false" applyFont="true" applyNumberFormat="true" applyProtection="false" borderId="23" fillId="0" fontId="2" numFmtId="176" xfId="0">
      <alignment vertical="center" wrapText="true"/>
    </xf>
    <xf applyAlignment="true" applyBorder="false" applyFill="true" applyFont="true" applyNumberFormat="true" applyProtection="false" borderId="24" fillId="2" fontId="2" numFmtId="177" xfId="0">
      <alignment horizontal="right" vertical="center" wrapText="true"/>
    </xf>
    <xf applyAlignment="true" applyBorder="false" applyFill="true" applyFont="true" applyNumberFormat="false" applyProtection="false" borderId="25" fillId="3" fontId="2" numFmtId="0" xfId="0">
      <alignment horizontal="right" vertical="center" wrapText="true"/>
    </xf>
    <xf applyAlignment="true" applyBorder="false" applyFill="true" applyFont="true" applyNumberFormat="false" applyProtection="false" borderId="26" fillId="4" fontId="2" numFmtId="0" xfId="0">
      <alignment horizontal="right" vertical="center" wrapText="true"/>
    </xf>
    <xf applyAlignment="true" applyBorder="false" applyFill="true" applyFont="true" applyNumberFormat="false" applyProtection="false" borderId="27" fillId="5" fontId="2" numFmtId="0" xfId="0">
      <alignment horizontal="right" vertical="center" wrapText="true"/>
    </xf>
    <xf applyAlignment="true" applyBorder="false" applyFill="true" applyFont="true" applyNumberFormat="true" applyProtection="false" borderId="28" fillId="6" fontId="4" numFmtId="178" xfId="0">
      <alignment horizontal="right" vertical="center"/>
    </xf>
    <xf applyAlignment="true" applyBorder="false" applyFill="true" applyFont="true" applyNumberFormat="true" applyProtection="false" borderId="29" fillId="7" fontId="2" numFmtId="179" xfId="0">
      <alignment horizontal="right" vertical="center" wrapText="true"/>
    </xf>
    <xf applyAlignment="true" applyBorder="false" applyFill="true" applyFont="true" applyNumberFormat="true" applyProtection="false" borderId="30" fillId="8" fontId="4" numFmtId="180" xfId="0">
      <alignment horizontal="right" vertical="center"/>
    </xf>
    <xf applyAlignment="true" applyBorder="false" applyFill="true" applyFont="true" applyNumberFormat="true" applyProtection="false" borderId="31" fillId="9" fontId="2" numFmtId="181" xfId="0">
      <alignment horizontal="right" vertical="center" wrapText="true"/>
    </xf>
    <xf applyAlignment="true" applyBorder="false" applyFill="true" applyFont="true" applyNumberFormat="true" applyProtection="false" borderId="32" fillId="10" fontId="4" numFmtId="182" xfId="0">
      <alignment horizontal="right" vertical="center"/>
    </xf>
    <xf applyAlignment="true" applyBorder="false" applyFill="true" applyFont="true" applyNumberFormat="false" applyProtection="false" borderId="33" fillId="11" fontId="5" numFmtId="0" xfId="0">
      <alignment horizontal="center" vertical="center" wrapText="true"/>
    </xf>
    <xf applyAlignment="true" applyBorder="false" applyFill="true" applyFont="true" applyNumberFormat="false" applyProtection="false" borderId="34" fillId="12" fontId="5" numFmtId="0" xfId="0">
      <alignment horizontal="center" vertical="center" wrapText="true"/>
    </xf>
    <xf applyAlignment="true" applyBorder="false" applyFill="true" applyFont="true" applyNumberFormat="false" applyProtection="false" borderId="35" fillId="13" fontId="5" numFmtId="0" xfId="0">
      <alignment horizontal="center" vertical="center" wrapText="true"/>
    </xf>
    <xf applyAlignment="true" applyBorder="false" applyFill="false" applyFont="true" applyNumberFormat="false" applyProtection="false" borderId="36" fillId="0" fontId="5" numFmtId="0" xfId="0">
      <alignment horizontal="center" vertical="center" wrapText="true"/>
    </xf>
    <xf applyAlignment="true" applyBorder="false" applyFill="true" applyFont="true" applyNumberFormat="false" applyProtection="false" borderId="37" fillId="14" fontId="4" numFmtId="0" xfId="0">
      <alignment horizontal="right" vertical="center"/>
    </xf>
    <xf applyAlignment="true" applyBorder="false" applyFill="true" applyFont="true" applyNumberFormat="false" applyProtection="false" borderId="38" fillId="15" fontId="4" numFmtId="0" xfId="0">
      <alignment horizontal="right" vertical="center"/>
    </xf>
    <xf applyAlignment="true" applyBorder="false" applyFill="true" applyFont="true" applyNumberFormat="false" applyProtection="false" borderId="39" fillId="16" fontId="4" numFmtId="0" xfId="0">
      <alignment horizontal="right" vertical="center"/>
    </xf>
    <xf applyAlignment="true" applyBorder="false" applyFill="true" applyFont="true" applyNumberFormat="false" applyProtection="false" borderId="40" fillId="17" fontId="6" numFmtId="0" xfId="0">
      <alignment vertical="center"/>
    </xf>
    <xf applyAlignment="true" applyBorder="false" applyFill="true" applyFont="true" applyNumberFormat="false" applyProtection="false" borderId="41" fillId="18" fontId="5" numFmtId="0" xfId="0">
      <alignment vertical="center" wrapText="true"/>
    </xf>
    <xf applyAlignment="true" applyBorder="false" applyFill="true" applyFont="true" applyNumberFormat="false" applyProtection="false" borderId="42" fillId="19" fontId="5" numFmtId="0" xfId="0">
      <alignment vertical="center" wrapText="true"/>
    </xf>
    <xf applyAlignment="true" applyBorder="false" applyFill="true" applyFont="true" applyNumberFormat="false" applyProtection="false" borderId="43" fillId="20" fontId="5" numFmtId="0" xfId="0">
      <alignment vertical="center" wrapText="true"/>
    </xf>
    <xf applyAlignment="true" applyBorder="false" applyFill="true" applyFont="true" applyNumberFormat="false" applyProtection="false" borderId="44" fillId="21" fontId="6" numFmtId="0" xfId="0">
      <alignment vertical="center"/>
    </xf>
    <xf applyAlignment="true" applyBorder="false" applyFill="true" applyFont="true" applyNumberFormat="false" applyProtection="false" borderId="45" fillId="22" fontId="6"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4"/>
    <col collapsed="false" customWidth="true" hidden="false" max="2" min="2" style="0" width="18"/>
    <col collapsed="false" customWidth="true" hidden="false" max="5" min="5" style="0" width="20"/>
    <col collapsed="false" customWidth="true" hidden="false" max="6" min="6" style="0" width="19"/>
    <col collapsed="false" customWidth="true" hidden="false" max="7" min="7" style="0" width="18"/>
    <col collapsed="false" customWidth="true" hidden="false" max="8" min="8" style="0" width="137"/>
  </cols>
  <sheetData>
    <row r="1">
      <c r="A1" s="16" t="str">
        <v>Tên KH</v>
      </c>
      <c r="B1" s="16" t="str">
        <v>AE</v>
      </c>
      <c r="C1" s="17" t="str">
        <v>Ngày nhận</v>
      </c>
      <c r="D1" s="17" t="str">
        <v>Ngày resolve</v>
      </c>
      <c r="E1" s="16" t="str">
        <v>Status</v>
      </c>
      <c r="F1" s="16" t="str">
        <v>Loại Lead</v>
      </c>
      <c r="G1" s="16" t="str">
        <v>Loại Unqualified</v>
      </c>
      <c r="H1" s="16" t="str">
        <v>Ghi chú thêm</v>
      </c>
    </row>
    <row r="2">
      <c r="A2" s="7" t="str">
        <v>Cao Lâm</v>
      </c>
      <c r="B2" s="4" t="str">
        <v>Phương Linh</v>
      </c>
      <c r="C2" s="1" t="str">
        <v>19/04/2026</v>
      </c>
      <c r="D2" s="1"/>
      <c r="E2" s="4" t="str">
        <v>Đang liên hệ</v>
      </c>
      <c r="F2" s="4" t="str">
        <v>Việt Nam</v>
      </c>
      <c r="G2" s="4"/>
      <c r="H2" s="4" t="str" xml:space="preserve">
        <v>Lần 1 liên hệ: Khách hàng mới đăng ký nhưng chưa có thời gian test sản phẩm
Đã liên hệ Zalo nhưng KH chưa phản hồi lại </v>
      </c>
    </row>
    <row r="3">
      <c r="A3" s="7" t="str">
        <v>Nguyen Huu Hung</v>
      </c>
      <c r="B3" s="4" t="str">
        <v>Phương Linh</v>
      </c>
      <c r="C3" s="1" t="str">
        <v>19/04/2026</v>
      </c>
      <c r="D3" s="1"/>
      <c r="E3" s="4" t="str">
        <v>Đang liên hệ</v>
      </c>
      <c r="F3" s="4" t="str">
        <v>Việt Nam</v>
      </c>
      <c r="G3" s="4"/>
      <c r="H3" s="4" t="str" xml:space="preserve">
        <v>Lần 1 liên hệ: Khách hàng đang bận 
Đã liên hệ Zalo nhưng KH chưa phản hồi lại </v>
      </c>
    </row>
    <row r="4">
      <c r="A4" s="4" t="str">
        <v>nguyen van toan</v>
      </c>
      <c r="B4" s="4" t="str">
        <v>Phương Linh</v>
      </c>
      <c r="C4" s="1" t="str">
        <v>19/04/2026</v>
      </c>
      <c r="D4" s="1"/>
      <c r="E4" s="4" t="str">
        <v>Đang liên hệ</v>
      </c>
      <c r="F4" s="4" t="str">
        <v>Việt Nam</v>
      </c>
      <c r="G4" s="4"/>
      <c r="H4" s="4" t="str" xml:space="preserve">
        <v>Lần 1 liên hệ: Khách hàng chưa phản hồi được nhiều thông tin
Đã liên hệ Zalo nhưng KH chưa phản hồi lại </v>
      </c>
    </row>
    <row r="5">
      <c r="A5" s="7" t="str">
        <v>Võ Khánh Tùng</v>
      </c>
      <c r="B5" s="4" t="str">
        <v>Phương Linh</v>
      </c>
      <c r="C5" s="1" t="str">
        <v>19/04/2026</v>
      </c>
      <c r="D5" s="1"/>
      <c r="E5" s="4" t="str">
        <v>Đang liên hệ</v>
      </c>
      <c r="F5" s="4" t="str">
        <v>Việt Nam</v>
      </c>
      <c r="G5" s="4"/>
      <c r="H5" s="4" t="str" xml:space="preserve">
        <v>Lần 1 liên hệ: Khách hàng đang bận 
Đã liên hệ Zalo nhưng KH chưa phản hồi lại </v>
      </c>
    </row>
    <row r="6">
      <c r="A6" s="7" t="str">
        <v>lưu văn tú</v>
      </c>
      <c r="B6" s="4" t="str">
        <v>Phương Linh</v>
      </c>
      <c r="C6" s="1" t="str">
        <v>19/04/2026</v>
      </c>
      <c r="D6" s="1"/>
      <c r="E6" s="4" t="str">
        <v>Đang liên hệ</v>
      </c>
      <c r="F6" s="4" t="str">
        <v>Việt Nam</v>
      </c>
      <c r="G6" s="4"/>
      <c r="H6" s="4" t="str" xml:space="preserve">
        <v>Lần 1 liên hệ: Khách hàng đã trải nghiệm sản phẩm và có khó khăn khi thao tác
Đã liên hệ Zalo nhưng KH chưa phản hồi lại </v>
      </c>
    </row>
    <row r="7">
      <c r="A7" s="7" t="str">
        <v>Maika Dwi</v>
      </c>
      <c r="B7" s="4" t="str">
        <v>Phương Linh</v>
      </c>
      <c r="C7" s="1" t="str">
        <v>19/04/2026</v>
      </c>
      <c r="D7" s="1"/>
      <c r="E7" s="4" t="str">
        <v>Mới</v>
      </c>
      <c r="F7" s="4" t="str">
        <v>Quốc Tế</v>
      </c>
      <c r="G7" s="4"/>
      <c r="H7" s="4"/>
    </row>
    <row r="8">
      <c r="A8" s="7" t="str">
        <v>primebet 88</v>
      </c>
      <c r="B8" s="4" t="str">
        <v>Phương Linh</v>
      </c>
      <c r="C8" s="1" t="str">
        <v>19/04/2026</v>
      </c>
      <c r="D8" s="1"/>
      <c r="E8" s="4" t="str">
        <v>Mới</v>
      </c>
      <c r="F8" s="4" t="str">
        <v>Quốc Tế</v>
      </c>
      <c r="G8" s="4"/>
      <c r="H8" s="4"/>
    </row>
    <row r="9">
      <c r="A9" s="7" t="str">
        <v>Cao Văn Minh</v>
      </c>
      <c r="B9" s="4" t="str">
        <v>Phương Linh</v>
      </c>
      <c r="C9" s="1" t="str">
        <v>19/04/2026</v>
      </c>
      <c r="D9" s="1"/>
      <c r="E9" s="4" t="str">
        <v>Đang liên hệ</v>
      </c>
      <c r="F9" s="4" t="str">
        <v>Việt Nam</v>
      </c>
      <c r="G9" s="4"/>
      <c r="H9" s="4" t="str">
        <v>Lần 1 liên hệ: Khách hàng đang dùng SĐT của vợ để đăng ký nên chưa lấy được thông tin 
Đã liên hệ Zalo nhưng KH k accept zalo để trao đổi ( chặn người lạ )</v>
      </c>
    </row>
    <row r="10">
      <c r="A10" s="7" t="str">
        <v>thanee keawsombat</v>
      </c>
      <c r="B10" s="4" t="str">
        <v>Phương Linh</v>
      </c>
      <c r="C10" s="1" t="str">
        <v>19/04/2026</v>
      </c>
      <c r="D10" s="1"/>
      <c r="E10" s="4" t="str">
        <v>Mới</v>
      </c>
      <c r="F10" s="4" t="str">
        <v>Quốc Tế</v>
      </c>
      <c r="G10" s="4"/>
      <c r="H10" s="4"/>
    </row>
    <row r="11">
      <c r="A11" s="4" t="str">
        <v>Chao Dara</v>
      </c>
      <c r="B11" s="4" t="str">
        <v>Phương Linh</v>
      </c>
      <c r="C11" s="1" t="str">
        <v>19/04/2026</v>
      </c>
      <c r="D11" s="1"/>
      <c r="E11" s="4" t="str">
        <v>Mới</v>
      </c>
      <c r="F11" s="4" t="str">
        <v>Quốc Tế</v>
      </c>
      <c r="G11" s="4"/>
      <c r="H11" s="4"/>
    </row>
    <row r="12">
      <c r="A12" s="4" t="str">
        <v>刘散散</v>
      </c>
      <c r="B12" s="4" t="str">
        <v>Phương Linh</v>
      </c>
      <c r="C12" s="1" t="str">
        <v>19/04/2026</v>
      </c>
      <c r="D12" s="1"/>
      <c r="E12" s="4" t="str">
        <v>Mới</v>
      </c>
      <c r="F12" s="4" t="str">
        <v>Quốc Tế</v>
      </c>
      <c r="G12" s="4"/>
      <c r="H12" s="4"/>
    </row>
    <row r="13">
      <c r="A13" s="4" t="str">
        <v>NL LEICA</v>
      </c>
      <c r="B13" s="4" t="str">
        <v>Phương Linh</v>
      </c>
      <c r="C13" s="1" t="str">
        <v>19/04/2026</v>
      </c>
      <c r="D13" s="1"/>
      <c r="E13" s="4" t="str">
        <v>Đang liên hệ</v>
      </c>
      <c r="F13" s="4" t="str">
        <v>Việt Nam</v>
      </c>
      <c r="G13" s="4"/>
      <c r="H13" s="4" t="str" xml:space="preserve">
        <v>Lần 1 liên hệ: Khách có bắt máy nhưng k có âm thanh hay hồi âm với AE
Đã liên hệ Zalo nhưng KH chưa phản hồi lại </v>
      </c>
    </row>
    <row r="14">
      <c r="A14" s="4" t="str">
        <v>tuấn</v>
      </c>
      <c r="B14" s="4" t="str">
        <v>Phương Linh</v>
      </c>
      <c r="C14" s="1" t="str">
        <v>19/04/2026</v>
      </c>
      <c r="D14" s="1"/>
      <c r="E14" s="4" t="str">
        <v>Đang liên hệ</v>
      </c>
      <c r="F14" s="4" t="str">
        <v>Việt Nam</v>
      </c>
      <c r="G14" s="4"/>
      <c r="H14" s="4" t="str" xml:space="preserve">
        <v>Lần 1 liên hệ: KH không nghe máy 
Đã liên hệ Zalo nhưng KH chưa phản hồi lại </v>
      </c>
    </row>
    <row r="15">
      <c r="A15" s="7" t="str">
        <v>Nguyên Tuấn</v>
      </c>
      <c r="B15" s="4" t="str">
        <v>Phương Linh</v>
      </c>
      <c r="C15" s="1" t="str">
        <v>19/04/2026</v>
      </c>
      <c r="D15" s="1"/>
      <c r="E15" s="4" t="str">
        <v>Unqualified</v>
      </c>
      <c r="F15" s="4" t="str">
        <v>Việt Nam</v>
      </c>
      <c r="G15" s="4" t="str">
        <v>Rejected</v>
      </c>
      <c r="H15" s="4" t="str">
        <v>KH k có nhu cầu</v>
      </c>
    </row>
    <row r="16">
      <c r="A16" s="4" t="str">
        <v>Ngo David</v>
      </c>
      <c r="B16" s="4" t="str">
        <v>Phương Linh</v>
      </c>
      <c r="C16" s="1" t="str">
        <v>19/04/2026</v>
      </c>
      <c r="D16" s="1"/>
      <c r="E16" s="4" t="str">
        <v>Unqualified</v>
      </c>
      <c r="F16" s="4" t="str">
        <v>Việt Nam</v>
      </c>
      <c r="G16" s="4" t="str">
        <v>Timing</v>
      </c>
      <c r="H16" s="4" t="str">
        <v>KH hiện chưa có nhu cầu sẽ tự tìm hiểu sau</v>
      </c>
    </row>
    <row r="17">
      <c r="A17" s="7" t="str">
        <v>Sh2aWa</v>
      </c>
      <c r="B17" s="4" t="str">
        <v>Phương Linh</v>
      </c>
      <c r="C17" s="1" t="str">
        <v>19/04/2026</v>
      </c>
      <c r="D17" s="1"/>
      <c r="E17" s="4" t="str">
        <v>Mới</v>
      </c>
      <c r="F17" s="4" t="str">
        <v>Quốc Tế</v>
      </c>
      <c r="G17" s="4"/>
      <c r="H17" s="4"/>
    </row>
    <row r="18">
      <c r="A18" s="4" t="str">
        <v>TRAN LINH</v>
      </c>
      <c r="B18" s="4" t="str">
        <v>Phương Linh</v>
      </c>
      <c r="C18" s="1" t="str">
        <v>19/04/2026</v>
      </c>
      <c r="D18" s="1"/>
      <c r="E18" s="4" t="str">
        <v>Unqualified</v>
      </c>
      <c r="F18" s="4" t="str">
        <v>Việt Nam</v>
      </c>
      <c r="G18" s="4" t="str">
        <v>Rejected</v>
      </c>
      <c r="H18" s="4" t="str">
        <v>KH k có nhu cầu</v>
      </c>
    </row>
    <row r="19">
      <c r="A19" s="4" t="str">
        <v>Tuyên</v>
      </c>
      <c r="B19" s="4" t="str">
        <v>Phương Linh</v>
      </c>
      <c r="C19" s="1" t="str">
        <v>19/04/2026</v>
      </c>
      <c r="D19" s="1"/>
      <c r="E19" s="4" t="str">
        <v>Đang liên hệ</v>
      </c>
      <c r="F19" s="4" t="str">
        <v>Việt Nam</v>
      </c>
      <c r="G19" s="4"/>
      <c r="H19" s="4" t="str" xml:space="preserve">
        <v>Lần 1 liên hệ: KH không nghe máy 
Đã liên hệ Zalo nhưng KH chưa phản hồi lại </v>
      </c>
    </row>
    <row r="20">
      <c r="A20" s="4" t="str">
        <v>lucky wind</v>
      </c>
      <c r="B20" s="4" t="str">
        <v>Phương Linh</v>
      </c>
      <c r="C20" s="1" t="str">
        <v>19/04/2026</v>
      </c>
      <c r="D20" s="1" t="str">
        <v>19/04/2026</v>
      </c>
      <c r="E20" s="4" t="str">
        <v>Qualified</v>
      </c>
      <c r="F20" s="4" t="str">
        <v>Việt Nam</v>
      </c>
      <c r="G20" s="4"/>
      <c r="H20" s="4" t="str">
        <v>KH là Agency, triển khai cho khách + dịch vụ cho khách thuê tài khoản quảng cáo
KH có 2 cái BM 2500 full tài khoản, ngoài ra các BM nhỏ thì cũng nhiều nhưng ko cho thuê trên đó. Bth KH triển khai trên nhiều nền tảng, nên ngân sách cho 30-40 đối tác trung bình mỗi nền tảng tầm 1,5-2 tỷ. Nhưng đợt này KH tính là thêm dịch vụ cho thuê, thì chắc ngân sách sẽ lớn hơn</v>
      </c>
    </row>
    <row r="21">
      <c r="A21" s="4" t="str">
        <v>Đăng Lê</v>
      </c>
      <c r="B21" s="4" t="str">
        <v>Phương Linh</v>
      </c>
      <c r="C21" s="1" t="str">
        <v>19/04/2026</v>
      </c>
      <c r="D21" s="1"/>
      <c r="E21" s="4" t="str">
        <v>Đang liên hệ</v>
      </c>
      <c r="F21" s="4" t="str">
        <v>Việt Nam</v>
      </c>
      <c r="G21" s="4"/>
      <c r="H21" s="4" t="str" xml:space="preserve">
        <v>Lần 1 liên hệ: KH không nghe máy 
Đã liên hệ Zalo nhưng KH chưa phản hồi lại </v>
      </c>
    </row>
    <row r="22">
      <c r="A22" s="4" t="str">
        <v>nguyenvanuy</v>
      </c>
      <c r="B22" s="4" t="str">
        <v>Phương Linh</v>
      </c>
      <c r="C22" s="1" t="str">
        <v>19/04/2026</v>
      </c>
      <c r="D22" s="1"/>
      <c r="E22" s="4" t="str">
        <v>Đang liên hệ</v>
      </c>
      <c r="F22" s="4" t="str">
        <v>Việt Nam</v>
      </c>
      <c r="G22" s="4"/>
      <c r="H22" s="4" t="str" xml:space="preserve">
        <v>Lần 1 liên hệ: KH không nghe máy 
Đã liên hệ Zalo nhưng KH chưa phản hồi lại </v>
      </c>
    </row>
    <row r="23">
      <c r="A23" s="4" t="str">
        <v>Nguyễn Toàn</v>
      </c>
      <c r="B23" s="4" t="str">
        <v>Phương Linh</v>
      </c>
      <c r="C23" s="1" t="str">
        <v>19/04/2026</v>
      </c>
      <c r="D23" s="1"/>
      <c r="E23" s="4" t="str">
        <v>Đang liên hệ</v>
      </c>
      <c r="F23" s="4" t="str">
        <v>Việt Nam</v>
      </c>
      <c r="G23" s="4"/>
      <c r="H23" s="4" t="str" xml:space="preserve">
        <v>Lần 1 liên hệ: KH nghe máy nhưng âm thanh kém KH k nghe thấy
Đã liên hệ Zalo nhưng KH chưa phản hồi lại </v>
      </c>
    </row>
    <row r="24">
      <c r="A24" s="4" t="str">
        <v>hoang van hieu</v>
      </c>
      <c r="B24" s="4" t="str">
        <v>Phương Linh</v>
      </c>
      <c r="C24" s="1" t="str">
        <v>19/04/2026</v>
      </c>
      <c r="D24" s="1"/>
      <c r="E24" s="4" t="str">
        <v>Đang liên hệ</v>
      </c>
      <c r="F24" s="4" t="str">
        <v>Việt Nam</v>
      </c>
      <c r="G24" s="4"/>
      <c r="H24" s="4" t="str" xml:space="preserve">
        <v>Lần 1 liên hệ: KH nghe máy nhưng âm thanh kém KH k nghe thấy
Đã liên hệ Zalo nhưng KH chưa phản hồi lại </v>
      </c>
    </row>
    <row r="25">
      <c r="A25" s="4" t="str">
        <v>quang</v>
      </c>
      <c r="B25" s="4" t="str">
        <v>Phương Linh</v>
      </c>
      <c r="C25" s="1" t="str">
        <v>19/04/2026</v>
      </c>
      <c r="D25" s="1"/>
      <c r="E25" s="4" t="str">
        <v>Đang liên hệ</v>
      </c>
      <c r="F25" s="4" t="str">
        <v>Việt Nam</v>
      </c>
      <c r="G25" s="4"/>
      <c r="H25" s="4" t="str" xml:space="preserve">
        <v>Lần 1 liên hệ: KH k nghe máy 
Đã liên hệ Zalo nhưng KH chặn người lạ </v>
      </c>
    </row>
    <row r="26">
      <c r="A26" s="4" t="str">
        <v>Ngọc Minh</v>
      </c>
      <c r="B26" s="4" t="str">
        <v>Phương Linh</v>
      </c>
      <c r="C26" s="1" t="str">
        <v>19/04/2026</v>
      </c>
      <c r="D26" s="1"/>
      <c r="E26" s="4" t="str">
        <v>Đang liên hệ</v>
      </c>
      <c r="F26" s="4" t="str">
        <v>Việt Nam</v>
      </c>
      <c r="G26" s="4"/>
      <c r="H26" s="4" t="str" xml:space="preserve">
        <v>Lần 1 liên hệ: KH không nghe máy 
Đã liên hệ Zalo nhưng KH chưa phản hồi lại </v>
      </c>
    </row>
    <row r="27">
      <c r="A27" s="4" t="str">
        <v>Tiến bằng Nguyễn</v>
      </c>
      <c r="B27" s="4" t="str">
        <v>Phương Linh</v>
      </c>
      <c r="C27" s="1" t="str">
        <v>19/04/2026</v>
      </c>
      <c r="D27" s="1"/>
      <c r="E27" s="4" t="str">
        <v>Đang liên hệ</v>
      </c>
      <c r="F27" s="4" t="str">
        <v>Việt Nam</v>
      </c>
      <c r="G27" s="4"/>
      <c r="H27" s="4" t="str" xml:space="preserve">
        <v>Lần 1 liên hệ: KH có nghe máy nhưng k nghe rõ được lời của KH 
Đã liên hệ Zalo nhưng KH chưa phản hồi lại </v>
      </c>
    </row>
    <row r="28">
      <c r="A28" s="7" t="str">
        <v>Hoàn trần</v>
      </c>
      <c r="B28" s="4" t="str">
        <v>Phương Linh</v>
      </c>
      <c r="C28" s="1" t="str">
        <v>19/04/2026</v>
      </c>
      <c r="D28" s="1"/>
      <c r="E28" s="4" t="str">
        <v>Đang liên hệ</v>
      </c>
      <c r="F28" s="4" t="str">
        <v>Việt Nam</v>
      </c>
      <c r="G28" s="4"/>
      <c r="H28" s="4" t="str" xml:space="preserve">
        <v>Lần 1 liên hệ: KH không nghe máy 
Đã liên hệ Zalo nhưng KH chưa phản hồi lại </v>
      </c>
    </row>
    <row r="29">
      <c r="A29" s="4" t="str">
        <v>Đỗ Công</v>
      </c>
      <c r="B29" s="4" t="str">
        <v>Phương Linh</v>
      </c>
      <c r="C29" s="1" t="str">
        <v>19/04/2026</v>
      </c>
      <c r="D29" s="1"/>
      <c r="E29" s="4" t="str">
        <v>Đang nuôi dưỡng</v>
      </c>
      <c r="F29" s="4" t="str">
        <v>Việt Nam</v>
      </c>
      <c r="G29" s="4"/>
      <c r="H29" s="4" t="str">
        <v>Lần 1 liên hệ: Khách hàng tự chạy quảng cáo. Ngân sách chạy 1-2tr/1 tháng. Khách hàng chưa lưu ý tính năng nào, quan tâm giá cả</v>
      </c>
    </row>
    <row r="30">
      <c r="A30" s="4" t="str">
        <v>trung nguyen</v>
      </c>
      <c r="B30" s="4" t="str">
        <v>Phương Linh</v>
      </c>
      <c r="C30" s="1" t="str">
        <v>19/04/2026</v>
      </c>
      <c r="D30" s="1"/>
      <c r="E30" s="4" t="str">
        <v>Mới</v>
      </c>
      <c r="F30" s="4" t="str">
        <v>Việt Nam</v>
      </c>
      <c r="G30" s="4"/>
      <c r="H30" s="4"/>
    </row>
    <row r="31">
      <c r="A31" s="4" t="str">
        <v>Thành Trương</v>
      </c>
      <c r="B31" s="4" t="str">
        <v>Phương Linh</v>
      </c>
      <c r="C31" s="1" t="str">
        <v>19/04/2026</v>
      </c>
      <c r="D31" s="1"/>
      <c r="E31" s="4" t="str">
        <v>Đang liên hệ</v>
      </c>
      <c r="F31" s="4" t="str">
        <v>Việt Nam</v>
      </c>
      <c r="G31" s="4"/>
      <c r="H31" s="4" t="str" xml:space="preserve">
        <v>Lần 1 liên hệ: KH không nghe máy 
Đã liên hệ Zalo nhưng KH chưa phản hồi lại </v>
      </c>
    </row>
    <row r="32">
      <c r="A32" s="4" t="str">
        <v>Nhung L U Z Y</v>
      </c>
      <c r="B32" s="4" t="str">
        <v>Phương Linh</v>
      </c>
      <c r="C32" s="1" t="str">
        <v>19/04/2026</v>
      </c>
      <c r="D32" s="1"/>
      <c r="E32" s="4" t="str">
        <v>Unqualified</v>
      </c>
      <c r="F32" s="4" t="str">
        <v>Việt Nam</v>
      </c>
      <c r="G32" s="4"/>
      <c r="H32" s="4" t="str" xml:space="preserve">
        <v>Lần 1 liên hệ: KH đang chưa hình dung được sản phẩm vì có thể là người khác đăng ký
Đã liên hệ Zalo nhưng KH chưa phản hồi lại </v>
      </c>
    </row>
    <row r="33">
      <c r="A33" s="4" t="str">
        <v>Nguyen trung hieu</v>
      </c>
      <c r="B33" s="4" t="str">
        <v>Phương Linh</v>
      </c>
      <c r="C33" s="1" t="str">
        <v>19/04/2026</v>
      </c>
      <c r="D33" s="1"/>
      <c r="E33" s="4" t="str">
        <v>Đang liên hệ</v>
      </c>
      <c r="F33" s="4" t="str">
        <v>Việt Nam</v>
      </c>
      <c r="G33" s="4"/>
      <c r="H33" s="14" t="str" xml:space="preserve">
        <v>Lần 1 liên hệ: Khách hàng đang bận 
Đã liên hệ Zalo nhưng KH chưa phản hồi lại </v>
      </c>
    </row>
    <row r="34">
      <c r="A34" s="4" t="str">
        <v>YuuAcc</v>
      </c>
      <c r="B34" s="4" t="str">
        <v>Phương Linh</v>
      </c>
      <c r="C34" s="1" t="str">
        <v>19/04/2026</v>
      </c>
      <c r="D34" s="1"/>
      <c r="E34" s="4" t="str">
        <v>Mới</v>
      </c>
      <c r="F34" s="4" t="str">
        <v>Quốc Tế</v>
      </c>
      <c r="G34" s="4"/>
      <c r="H34" s="4"/>
    </row>
    <row r="35">
      <c r="A35" s="4" t="str">
        <v>Chung Hà</v>
      </c>
      <c r="B35" s="4" t="str">
        <v>Phương Linh</v>
      </c>
      <c r="C35" s="1" t="str">
        <v>19/04/2026</v>
      </c>
      <c r="D35" s="1"/>
      <c r="E35" s="4" t="str">
        <v>Đang liên hệ</v>
      </c>
      <c r="F35" s="4" t="str">
        <v>Việt Nam</v>
      </c>
      <c r="G35" s="4"/>
      <c r="H35" s="4" t="str" xml:space="preserve">
        <v>Lần 1 liên hệ: Ngoài giờ làm việc nên KH hẹn mai
Đã tìm Zalo nhưng SĐT không hiển thị Zalo của KH </v>
      </c>
    </row>
    <row r="36">
      <c r="A36" s="4" t="str">
        <v>lê anh</v>
      </c>
      <c r="B36" s="4" t="str">
        <v>Phương Linh</v>
      </c>
      <c r="C36" s="1" t="str">
        <v>19/04/2026</v>
      </c>
      <c r="D36" s="1"/>
      <c r="E36" s="4" t="str">
        <v>Đang liên hệ</v>
      </c>
      <c r="F36" s="4" t="str">
        <v>Việt Nam</v>
      </c>
      <c r="G36" s="4"/>
      <c r="H36" s="4" t="str" xml:space="preserve">
        <v>Lần 1 liên hệ: KH không nghe máy 
Đã tìm Zalo nhưng KH chặn người lạ </v>
      </c>
    </row>
    <row r="37">
      <c r="A37" s="4" t="str">
        <v>Cường Trương Thế</v>
      </c>
      <c r="B37" s="4" t="str">
        <v>Phương Linh</v>
      </c>
      <c r="C37" s="1" t="str">
        <v>19/04/2026</v>
      </c>
      <c r="D37" s="1"/>
      <c r="E37" s="4" t="str">
        <v>Đang liên hệ</v>
      </c>
      <c r="F37" s="4" t="str">
        <v>Việt Nam</v>
      </c>
      <c r="G37" s="4"/>
      <c r="H37" s="4" t="str" xml:space="preserve">
        <v>Lần 1 liên hệ: KH có nghe máy và tự chạy QC
Đã liên hệ Zalo nhưng KH chưa phản hồi lại </v>
      </c>
    </row>
    <row r="38">
      <c r="A38" s="4" t="str">
        <v>roeunnarong</v>
      </c>
      <c r="B38" s="4" t="str">
        <v>Phương Linh</v>
      </c>
      <c r="C38" s="1" t="str">
        <v>19/04/2026</v>
      </c>
      <c r="D38" s="1"/>
      <c r="E38" s="4" t="str">
        <v>Mới</v>
      </c>
      <c r="F38" s="4" t="str">
        <v>Quốc Tế</v>
      </c>
      <c r="G38" s="4"/>
      <c r="H38" s="4"/>
    </row>
    <row r="39">
      <c r="A39" s="4" t="str">
        <v>Dinh Trong Nguyen</v>
      </c>
      <c r="B39" s="4" t="str">
        <v>Phương Linh</v>
      </c>
      <c r="C39" s="1" t="str">
        <v>19/04/2026</v>
      </c>
      <c r="D39" s="1"/>
      <c r="E39" s="4" t="str">
        <v>Mới</v>
      </c>
      <c r="F39" s="4" t="str">
        <v>Việt Nam</v>
      </c>
      <c r="G39" s="4"/>
      <c r="H39" s="4"/>
    </row>
    <row r="40">
      <c r="A40" s="4" t="str">
        <v>NGUYEN CONG DIEN</v>
      </c>
      <c r="B40" s="4" t="str">
        <v>Phương Linh</v>
      </c>
      <c r="C40" s="1" t="str">
        <v>19/04/2026</v>
      </c>
      <c r="D40" s="1"/>
      <c r="E40" s="4" t="str">
        <v>Mới</v>
      </c>
      <c r="F40" s="4" t="str">
        <v>Việt Nam</v>
      </c>
      <c r="G40" s="4"/>
      <c r="H40" s="4"/>
    </row>
    <row r="41">
      <c r="A41" s="4" t="str">
        <v>thanh phan</v>
      </c>
      <c r="B41" s="4" t="str">
        <v>Phương Linh</v>
      </c>
      <c r="C41" s="1" t="str">
        <v>19/04/2026</v>
      </c>
      <c r="D41" s="1"/>
      <c r="E41" s="4" t="str">
        <v>Mới</v>
      </c>
      <c r="F41" s="4" t="str">
        <v>Việt Nam</v>
      </c>
      <c r="G41" s="4"/>
      <c r="H41" s="4"/>
    </row>
    <row r="42">
      <c r="A42" s="4" t="str">
        <v>SUBEO</v>
      </c>
      <c r="B42" s="4" t="str">
        <v>Phương Linh</v>
      </c>
      <c r="C42" s="1" t="str">
        <v>19/04/2026</v>
      </c>
      <c r="D42" s="1"/>
      <c r="E42" s="4" t="str">
        <v>Mới</v>
      </c>
      <c r="F42" s="4" t="str">
        <v>Việt Nam</v>
      </c>
      <c r="G42" s="4"/>
      <c r="H42" s="4"/>
    </row>
    <row r="43">
      <c r="A43" s="4" t="str">
        <v>Thanh Ngân Nguyễn Thị</v>
      </c>
      <c r="B43" s="4" t="str">
        <v>Phương Linh</v>
      </c>
      <c r="C43" s="1" t="str">
        <v>19/04/2026</v>
      </c>
      <c r="D43" s="1"/>
      <c r="E43" s="4" t="str">
        <v>Mới</v>
      </c>
      <c r="F43" s="4" t="str">
        <v>Việt Nam</v>
      </c>
      <c r="G43" s="4"/>
      <c r="H43" s="4"/>
    </row>
    <row r="44">
      <c r="A44" s="4" t="str">
        <v>AF  Rimuru</v>
      </c>
      <c r="B44" s="4" t="str">
        <v>Phương Linh</v>
      </c>
      <c r="C44" s="1" t="str">
        <v>19/04/2026</v>
      </c>
      <c r="D44" s="1"/>
      <c r="E44" s="4" t="str">
        <v>Mới</v>
      </c>
      <c r="F44" s="4" t="str">
        <v>Quốc Tế</v>
      </c>
      <c r="G44" s="4"/>
      <c r="H44" s="4"/>
    </row>
    <row r="45">
      <c r="A45" s="4" t="str">
        <v>Nguyễn Hải</v>
      </c>
      <c r="B45" s="4" t="str">
        <v>Phương Linh</v>
      </c>
      <c r="C45" s="1" t="str">
        <v>19/04/2026</v>
      </c>
      <c r="D45" s="1"/>
      <c r="E45" s="4" t="str">
        <v>Mới</v>
      </c>
      <c r="F45" s="4" t="str">
        <v>Việt Nam</v>
      </c>
      <c r="G45" s="4"/>
      <c r="H45" s="4"/>
    </row>
    <row r="46">
      <c r="A46" s="4" t="str">
        <v>hieu nguyen</v>
      </c>
      <c r="B46" s="4" t="str">
        <v>Phương Linh</v>
      </c>
      <c r="C46" s="1" t="str">
        <v>19/04/2026</v>
      </c>
      <c r="D46" s="1"/>
      <c r="E46" s="4" t="str">
        <v>Mới</v>
      </c>
      <c r="F46" s="4" t="str">
        <v>Việt Nam</v>
      </c>
      <c r="G46" s="4"/>
      <c r="H46" s="4"/>
    </row>
    <row r="47">
      <c r="A47" s="4" t="str">
        <v>Bảo Trần</v>
      </c>
      <c r="B47" s="4" t="str">
        <v>Phương Linh</v>
      </c>
      <c r="C47" s="1" t="str">
        <v>19/04/2026</v>
      </c>
      <c r="D47" s="1"/>
      <c r="E47" s="4" t="str">
        <v>Mới</v>
      </c>
      <c r="F47" s="4" t="str">
        <v>Việt Nam</v>
      </c>
      <c r="G47" s="4"/>
      <c r="H47" s="4"/>
    </row>
    <row r="48">
      <c r="A48" s="4" t="str">
        <v>xu</v>
      </c>
      <c r="B48" s="4" t="str">
        <v>Phương Linh</v>
      </c>
      <c r="C48" s="1" t="str">
        <v>19/04/2026</v>
      </c>
      <c r="D48" s="1"/>
      <c r="E48" s="4" t="str">
        <v>Mới</v>
      </c>
      <c r="F48" s="4" t="str">
        <v>Quốc Tế</v>
      </c>
      <c r="G48" s="4"/>
      <c r="H48" s="4"/>
    </row>
    <row r="49">
      <c r="A49" s="4" t="str">
        <v>OLEG KARAKUTS</v>
      </c>
      <c r="B49" s="4" t="str">
        <v>Phương Linh</v>
      </c>
      <c r="C49" s="1" t="str">
        <v>19/04/2026</v>
      </c>
      <c r="D49" s="1"/>
      <c r="E49" s="4" t="str">
        <v>Mới</v>
      </c>
      <c r="F49" s="4" t="str">
        <v>Quốc Tế</v>
      </c>
      <c r="G49" s="4"/>
      <c r="H49" s="4"/>
    </row>
    <row r="50">
      <c r="A50" s="7" t="str">
        <v>hải anh</v>
      </c>
      <c r="B50" s="4" t="str">
        <v>Phương Linh</v>
      </c>
      <c r="C50" s="1" t="str">
        <v>19/04/2026</v>
      </c>
      <c r="D50" s="3"/>
      <c r="E50" s="4" t="str">
        <v>Mới</v>
      </c>
      <c r="F50" s="2" t="str">
        <v>Việt Nam</v>
      </c>
      <c r="G50" s="2"/>
      <c r="H50" s="2"/>
    </row>
    <row r="51">
      <c r="A51" s="2" t="str">
        <v>vu phong</v>
      </c>
      <c r="B51" s="4" t="str">
        <v>Phương Linh</v>
      </c>
      <c r="C51" s="1" t="str">
        <v>19/04/2026</v>
      </c>
      <c r="D51" s="3"/>
      <c r="E51" s="4" t="str">
        <v>Mới</v>
      </c>
      <c r="F51" s="2" t="str">
        <v>Việt Nam</v>
      </c>
      <c r="G51" s="2"/>
      <c r="H51" s="2"/>
    </row>
    <row r="52">
      <c r="A52" s="2" t="str">
        <v>Nguyễn Thông</v>
      </c>
      <c r="B52" s="4" t="str">
        <v>Phương Linh</v>
      </c>
      <c r="C52" s="1" t="str">
        <v>19/04/2026</v>
      </c>
      <c r="D52" s="3" t="str">
        <v>20/04/2026</v>
      </c>
      <c r="E52" s="2" t="str">
        <v>Qualified</v>
      </c>
      <c r="F52" s="2" t="str">
        <v>Việt Nam</v>
      </c>
      <c r="G52" s="2"/>
      <c r="H52" s="2"/>
    </row>
    <row r="53">
      <c r="A53" s="2" t="str">
        <v>Đỗ Huy</v>
      </c>
      <c r="B53" s="4" t="str">
        <v>Phương Linh</v>
      </c>
      <c r="C53" s="1" t="str">
        <v>19/04/2026</v>
      </c>
      <c r="D53" s="3"/>
      <c r="E53" s="2" t="str">
        <v>Mới</v>
      </c>
      <c r="F53" s="2" t="str">
        <v>Việt Nam</v>
      </c>
      <c r="G53" s="2"/>
      <c r="H53" s="2"/>
    </row>
    <row r="54">
      <c r="A54" s="2" t="str">
        <v>Nguyễn Duy An</v>
      </c>
      <c r="B54" s="4" t="str">
        <v>Phương Linh</v>
      </c>
      <c r="C54" s="1" t="str">
        <v>19/04/2026</v>
      </c>
      <c r="D54" s="3"/>
      <c r="E54" s="2" t="str">
        <v>Mới</v>
      </c>
      <c r="F54" s="2" t="str">
        <v>Việt Nam</v>
      </c>
      <c r="G54" s="2"/>
      <c r="H54" s="2"/>
    </row>
    <row r="55">
      <c r="A55" s="2" t="str">
        <v>วัยรุ่น ตุรกี</v>
      </c>
      <c r="B55" s="4" t="str">
        <v>Phương Linh</v>
      </c>
      <c r="C55" s="1" t="str">
        <v>19/04/2026</v>
      </c>
      <c r="D55" s="3"/>
      <c r="E55" s="2" t="str">
        <v>Mới</v>
      </c>
      <c r="F55" s="2" t="str">
        <v>Quốc Tế</v>
      </c>
      <c r="G55" s="2"/>
      <c r="H55" s="2"/>
    </row>
    <row r="56">
      <c r="A56" s="2" t="str">
        <v>HAZEM ALI GALAL (Doc)</v>
      </c>
      <c r="B56" s="4" t="str">
        <v>Phương Linh</v>
      </c>
      <c r="C56" s="1" t="str">
        <v>19/04/2026</v>
      </c>
      <c r="D56" s="3"/>
      <c r="E56" s="2" t="str">
        <v>Mới</v>
      </c>
      <c r="F56" s="2" t="str">
        <v>Quốc Tế</v>
      </c>
      <c r="G56" s="2"/>
      <c r="H56" s="2"/>
    </row>
    <row r="57">
      <c r="A57" s="2" t="str">
        <v>Helen Vanston</v>
      </c>
      <c r="B57" s="4" t="str">
        <v>Phương Linh</v>
      </c>
      <c r="C57" s="1" t="str">
        <v>19/04/2026</v>
      </c>
      <c r="D57" s="3"/>
      <c r="E57" s="2" t="str">
        <v>Mới</v>
      </c>
      <c r="F57" s="2" t="str">
        <v>Quốc Tế</v>
      </c>
      <c r="G57" s="2"/>
      <c r="H57" s="2"/>
    </row>
    <row r="58">
      <c r="A58" s="2" t="str">
        <v>Tuấn Vũ</v>
      </c>
      <c r="B58" s="4" t="str">
        <v>Phương Linh</v>
      </c>
      <c r="C58" s="1" t="str">
        <v>19/04/2026</v>
      </c>
      <c r="D58" s="3"/>
      <c r="E58" s="2" t="str">
        <v>Mới</v>
      </c>
      <c r="F58" s="2" t="str">
        <v>Việt Nam</v>
      </c>
      <c r="G58" s="2"/>
      <c r="H58" s="2"/>
    </row>
    <row r="59">
      <c r="A59" s="2" t="str">
        <v>Spongbob Spongbob</v>
      </c>
      <c r="B59" s="4" t="str">
        <v>Phương Linh</v>
      </c>
      <c r="C59" s="1" t="str">
        <v>19/04/2026</v>
      </c>
      <c r="D59" s="3"/>
      <c r="E59" s="2" t="str">
        <v>Mới</v>
      </c>
      <c r="F59" s="2" t="str">
        <v>Quốc Tế</v>
      </c>
      <c r="G59" s="2"/>
      <c r="H59" s="2"/>
    </row>
    <row r="60">
      <c r="A60" s="2" t="str">
        <v>Đào Văn Huy</v>
      </c>
      <c r="B60" s="4" t="str">
        <v>Phương Linh</v>
      </c>
      <c r="C60" s="1" t="str">
        <v>19/04/2026</v>
      </c>
      <c r="D60" s="3"/>
      <c r="E60" s="2" t="str">
        <v>Mới</v>
      </c>
      <c r="F60" s="2" t="str">
        <v>Việt Nam</v>
      </c>
      <c r="G60" s="2"/>
      <c r="H60" s="2"/>
    </row>
    <row r="61">
      <c r="A61" s="2" t="str">
        <v>Long Xiao</v>
      </c>
      <c r="B61" s="4" t="str">
        <v>Phương Linh</v>
      </c>
      <c r="C61" s="1" t="str">
        <v>19/04/2026</v>
      </c>
      <c r="D61" s="3"/>
      <c r="E61" s="2" t="str">
        <v>Mới</v>
      </c>
      <c r="F61" s="2" t="str">
        <v>Quốc Tế</v>
      </c>
      <c r="G61" s="2"/>
      <c r="H61" s="2"/>
    </row>
    <row r="62">
      <c r="A62" s="10" t="str">
        <v>tlzb11</v>
      </c>
      <c r="B62" s="4" t="str">
        <v>Phương Linh</v>
      </c>
      <c r="C62" s="1" t="str">
        <v>19/04/2026</v>
      </c>
      <c r="D62" s="3"/>
      <c r="E62" s="2" t="str">
        <v>Mới</v>
      </c>
      <c r="F62" s="2" t="str">
        <v>Quốc Tế</v>
      </c>
      <c r="G62" s="2"/>
      <c r="H62" s="2"/>
    </row>
    <row r="63">
      <c r="A63" s="2" t="str">
        <v>Tran Quan</v>
      </c>
      <c r="B63" s="13" t="str">
        <v>Phương Linh</v>
      </c>
      <c r="C63" s="1" t="str">
        <v>19/04/2026</v>
      </c>
      <c r="D63" s="3"/>
      <c r="E63" s="2" t="str">
        <v>Mới</v>
      </c>
      <c r="F63" s="2" t="str">
        <v>Việt Nam</v>
      </c>
      <c r="G63" s="2"/>
      <c r="H63" s="2"/>
    </row>
    <row r="64">
      <c r="A64" s="2" t="str">
        <v>cd c</v>
      </c>
      <c r="B64" s="13" t="str">
        <v>Phương Linh</v>
      </c>
      <c r="C64" s="1" t="str">
        <v>19/04/2026</v>
      </c>
      <c r="D64" s="3"/>
      <c r="E64" s="2" t="str">
        <v>Mới</v>
      </c>
      <c r="F64" s="2" t="str">
        <v>Quốc Tế</v>
      </c>
      <c r="G64" s="2"/>
      <c r="H64" s="2"/>
    </row>
    <row r="65">
      <c r="A65" s="2" t="str">
        <v>ĐÀO VĂN HUY</v>
      </c>
      <c r="B65" s="13" t="str">
        <v>Phương Linh</v>
      </c>
      <c r="C65" s="1" t="str">
        <v>19/04/2026</v>
      </c>
      <c r="D65" s="3"/>
      <c r="E65" s="2" t="str">
        <v>Mới</v>
      </c>
      <c r="F65" s="2" t="str">
        <v>Việt Nam</v>
      </c>
      <c r="G65" s="2"/>
      <c r="H65" s="2"/>
    </row>
    <row r="66">
      <c r="A66" s="2" t="str">
        <v>V2 Company</v>
      </c>
      <c r="B66" s="13" t="str">
        <v>Phương Linh</v>
      </c>
      <c r="C66" s="1" t="str">
        <v>19/04/2026</v>
      </c>
      <c r="D66" s="3"/>
      <c r="E66" s="2" t="str">
        <v>Mới</v>
      </c>
      <c r="F66" s="2" t="str">
        <v>Quốc Tế</v>
      </c>
      <c r="G66" s="2"/>
      <c r="H66" s="2"/>
    </row>
    <row r="67">
      <c r="A67" s="2" t="str">
        <v>Nguyễn Quang Vinh</v>
      </c>
      <c r="B67" s="13" t="str">
        <v>Phương Linh</v>
      </c>
      <c r="C67" s="1" t="str">
        <v>19/04/2026</v>
      </c>
      <c r="D67" s="3"/>
      <c r="E67" s="2" t="str">
        <v>Mới</v>
      </c>
      <c r="F67" s="2" t="str">
        <v>Việt Nam</v>
      </c>
      <c r="G67" s="2"/>
      <c r="H67" s="2"/>
    </row>
    <row r="68">
      <c r="A68" s="7" t="str">
        <v>dinh ta</v>
      </c>
      <c r="B68" s="13" t="str">
        <v>Phương Linh</v>
      </c>
      <c r="C68" s="1" t="str">
        <v>19/04/2026</v>
      </c>
      <c r="D68" s="3"/>
      <c r="E68" s="2" t="str">
        <v>Mới</v>
      </c>
      <c r="F68" s="2" t="str">
        <v>Việt Nam</v>
      </c>
      <c r="G68" s="2"/>
      <c r="H68" s="2"/>
    </row>
    <row r="69">
      <c r="A69" s="2" t="str">
        <v>Oruj Alizada</v>
      </c>
      <c r="B69" s="13" t="str">
        <v>Phương Linh</v>
      </c>
      <c r="C69" s="1" t="str">
        <v>19/04/2026</v>
      </c>
      <c r="D69" s="3"/>
      <c r="E69" s="2" t="str">
        <v>Mới</v>
      </c>
      <c r="F69" s="2" t="str">
        <v>Quốc Tế</v>
      </c>
      <c r="G69" s="2"/>
      <c r="H69" s="2"/>
    </row>
    <row r="70">
      <c r="A70" s="2" t="str">
        <v>Trần Hạo Nam</v>
      </c>
      <c r="B70" s="13" t="str">
        <v>Phương Linh</v>
      </c>
      <c r="C70" s="1" t="str">
        <v>19/04/2026</v>
      </c>
      <c r="D70" s="3"/>
      <c r="E70" s="2" t="str">
        <v>Mới</v>
      </c>
      <c r="F70" s="2" t="str">
        <v>Việt Nam</v>
      </c>
      <c r="G70" s="2"/>
      <c r="H70" s="2"/>
    </row>
    <row r="71">
      <c r="A71" s="7" t="str">
        <v>Nguyễn Văn Thanh</v>
      </c>
      <c r="B71" s="13" t="str">
        <v>Phương Linh</v>
      </c>
      <c r="C71" s="3" t="str">
        <v>20/04/2026</v>
      </c>
      <c r="D71" s="3"/>
      <c r="E71" s="2" t="str">
        <v>Mới</v>
      </c>
      <c r="F71" s="2" t="str">
        <v>Việt Nam</v>
      </c>
      <c r="G71" s="2"/>
      <c r="H71" s="2"/>
    </row>
    <row r="72">
      <c r="A72" s="7" t="str">
        <v>kiên trần</v>
      </c>
      <c r="B72" s="13" t="str">
        <v>Phương Linh</v>
      </c>
      <c r="C72" s="3" t="str">
        <v>20/04/2026</v>
      </c>
      <c r="D72" s="3"/>
      <c r="E72" s="2" t="str">
        <v>Mới</v>
      </c>
      <c r="F72" s="2" t="str">
        <v>Việt Nam</v>
      </c>
      <c r="G72" s="2"/>
      <c r="H72" s="2"/>
    </row>
    <row customHeight="true" ht="19" r="73">
      <c r="A73" s="7" t="str">
        <v>Bruce Yi</v>
      </c>
      <c r="B73" s="13" t="str">
        <v>Phương Linh</v>
      </c>
      <c r="C73" s="3" t="str">
        <v>20/04/2026</v>
      </c>
      <c r="D73" s="19"/>
      <c r="E73" s="2" t="str">
        <v>Mới</v>
      </c>
      <c r="F73" s="2" t="str">
        <v>Quốc Tế</v>
      </c>
      <c r="G73" s="2"/>
      <c r="H73" s="2"/>
    </row>
    <row r="74">
      <c r="A74" s="7" t="str">
        <v>Albert</v>
      </c>
      <c r="B74" s="13" t="str">
        <v>Hồng Nhung</v>
      </c>
      <c r="C74" s="18" t="str">
        <v>20/04/2026</v>
      </c>
      <c r="D74" s="3"/>
      <c r="E74" s="12" t="str">
        <v>Mới</v>
      </c>
      <c r="F74" s="2" t="str">
        <v>Quốc Tế</v>
      </c>
      <c r="G74" s="2"/>
      <c r="H74" s="2"/>
    </row>
    <row r="75">
      <c r="A75" s="7" t="str">
        <v>Anh Nguyên Thế</v>
      </c>
      <c r="B75" s="5" t="str">
        <v>Hồng Nhung</v>
      </c>
      <c r="C75" s="20" t="str">
        <v>20/04/2026</v>
      </c>
      <c r="D75" s="8">
        <v>46132</v>
      </c>
      <c r="E75" s="12" t="str">
        <v>Đang liên hệ</v>
      </c>
      <c r="F75" s="2" t="str">
        <v>Việt Nam</v>
      </c>
      <c r="G75" s="2"/>
      <c r="H75" s="2"/>
    </row>
    <row r="76">
      <c r="A76" s="7" t="str">
        <v>Tuấn Anh</v>
      </c>
      <c r="B76" s="5" t="str">
        <v>Hồng Nhung</v>
      </c>
      <c r="C76" s="11">
        <v>46131</v>
      </c>
      <c r="D76" s="8">
        <v>46132</v>
      </c>
      <c r="E76" s="12" t="str">
        <v>Đang liên hệ</v>
      </c>
      <c r="F76" s="2" t="str">
        <v>Việt Nam</v>
      </c>
      <c r="G76" s="2"/>
      <c r="H76" s="4" t="str">
        <v>Mình chạy cá nhân,1 tháng chi tiêu khoảng 5-700tr. Mình gặp khó khăn là dạo gần đây Facebook hay bị mất tên camp, không lọc và xem được camp. Mình đang bận chút, bạn kết bạn với mình qua Zalo nhé.</v>
      </c>
    </row>
    <row r="77">
      <c r="A77" s="7" t="str">
        <v>Nghia Luu</v>
      </c>
      <c r="B77" s="5" t="str">
        <v>Hồng Nhung</v>
      </c>
      <c r="C77" s="11">
        <v>46131</v>
      </c>
      <c r="D77" s="8">
        <v>46132</v>
      </c>
      <c r="E77" s="12" t="str">
        <v>Đang liên hệ</v>
      </c>
      <c r="F77" s="2" t="str">
        <v>Việt Nam</v>
      </c>
      <c r="G77" s="2"/>
      <c r="H77" s="4" t="str">
        <v>K nghe máy</v>
      </c>
    </row>
    <row r="78">
      <c r="A78" s="7" t="str">
        <v>đỗ Danh</v>
      </c>
      <c r="B78" s="5" t="str">
        <v>Hồng Nhung</v>
      </c>
      <c r="C78" s="11">
        <v>46131</v>
      </c>
      <c r="D78" s="8">
        <v>46132</v>
      </c>
      <c r="E78" s="12" t="str">
        <v>Unqualified</v>
      </c>
      <c r="F78" s="2" t="str">
        <v>Việt Nam</v>
      </c>
      <c r="G78" s="2" t="str">
        <v>Bad Fit</v>
      </c>
      <c r="H78" s="4" t="str">
        <v>KH này đăng ký từ đợt tháng 1, có trao đổi qua Zalo ròi, đang quản lý 1 TKQC, 1 BM, ngưỡng nhỏ do mới chạy nên k cần dùng. Đang hỏi thăm lại xem sao
-&gt; Phản hồi lại bảo em định tìm hoặc hỏi xem bên mình có bán hay cho thuê TK không thôi</v>
      </c>
    </row>
    <row r="79">
      <c r="A79" s="7" t="str">
        <v>Nguyễn Nam</v>
      </c>
      <c r="B79" s="5" t="str">
        <v>Hồng Nhung</v>
      </c>
      <c r="C79" s="11">
        <v>46131</v>
      </c>
      <c r="D79" s="8">
        <v>46132</v>
      </c>
      <c r="E79" s="12" t="str">
        <v>Đang liên hệ</v>
      </c>
      <c r="F79" s="2" t="str">
        <v>Việt Nam</v>
      </c>
      <c r="G79" s="2"/>
      <c r="H79" s="4" t="str">
        <v>KH đang đi xe máy, không nghe thấy KH nói gì -&gt; Xin kết nối Zalo</v>
      </c>
    </row>
    <row r="80">
      <c r="A80" s="7" t="str">
        <v>Giáp Vũ</v>
      </c>
      <c r="B80" s="5" t="str">
        <v>Hồng Nhung</v>
      </c>
      <c r="C80" s="11">
        <v>46131</v>
      </c>
      <c r="D80" s="8">
        <v>46132</v>
      </c>
      <c r="E80" s="12" t="str">
        <v>Unqualified</v>
      </c>
      <c r="F80" s="2" t="str">
        <v>Việt Nam</v>
      </c>
      <c r="G80" s="2" t="str">
        <v>Bad Fit</v>
      </c>
      <c r="H80" s="4" t="str">
        <v>Anh chi tiêu 5-6tr/1 ngày (150-180tr/tháng). Anh chạy cá nhân thôi, anh định dùng cái SMIT Agency này nhưng vào check bảng giá thấy gói thấp nhất 10 tỷ vs cả chi phí 1 tháng cao quá nên anh k tìm hiểu nữa, anh k dùng nữa. Chưa đi sâu chức năng nào mà chỉ vào xem qua xong check giá luôn</v>
      </c>
    </row>
    <row r="81">
      <c r="A81" s="7" t="str">
        <v>Thao Nam</v>
      </c>
      <c r="B81" s="5" t="str">
        <v>Hồng Nhung</v>
      </c>
      <c r="C81" s="11">
        <v>46131</v>
      </c>
      <c r="D81" s="8">
        <v>46132</v>
      </c>
      <c r="E81" s="12" t="str">
        <v>Đang liên hệ</v>
      </c>
      <c r="F81" s="2" t="str">
        <v>Việt Nam</v>
      </c>
      <c r="G81" s="2"/>
      <c r="H81" s="4"/>
    </row>
    <row r="82">
      <c r="A82" s="7" t="str">
        <v>Dada Hu (定语)</v>
      </c>
      <c r="B82" s="5" t="str">
        <v>Hồng Nhung</v>
      </c>
      <c r="C82" s="8">
        <v>46131</v>
      </c>
      <c r="D82" s="15"/>
      <c r="E82" s="2" t="str">
        <v>Mới</v>
      </c>
      <c r="F82" s="2" t="str">
        <v>Quốc Tế</v>
      </c>
      <c r="G82" s="2"/>
      <c r="H82" s="2"/>
    </row>
    <row r="83">
      <c r="A83" s="7" t="str">
        <v>Jame Smith</v>
      </c>
      <c r="B83" s="5" t="str">
        <v>Hồng Nhung</v>
      </c>
      <c r="C83" s="8">
        <v>46131</v>
      </c>
      <c r="D83" s="9">
        <v>46132</v>
      </c>
      <c r="E83" s="2" t="str">
        <v>Đang liên hệ</v>
      </c>
      <c r="F83" s="2" t="str">
        <v>Việt Nam</v>
      </c>
      <c r="G83" s="2"/>
      <c r="H83" s="2" t="str">
        <v>KH gọi lại nhưng báo anh dùng được rồi, vào được rồi. Khai thác thêm xem đang dùng sp nào thì k thấy KH nói gì nữa.
Liên hệ lại không được</v>
      </c>
    </row>
    <row r="84">
      <c r="A84" s="7" t="str">
        <v>Thomas R.</v>
      </c>
      <c r="B84" s="5" t="str">
        <v>Hồng Nhung</v>
      </c>
      <c r="C84" s="8">
        <v>46131</v>
      </c>
      <c r="D84" s="6"/>
      <c r="E84" s="2" t="str">
        <v>Mới</v>
      </c>
      <c r="F84" s="2" t="str">
        <v>Quốc Tế</v>
      </c>
      <c r="G84" s="2"/>
      <c r="H84" s="2"/>
    </row>
    <row r="85">
      <c r="A85" s="7" t="str">
        <v>Максим Ратич</v>
      </c>
      <c r="B85" s="5" t="str">
        <v>Hồng Nhung</v>
      </c>
      <c r="C85" s="8">
        <v>46131</v>
      </c>
      <c r="D85" s="6"/>
      <c r="E85" s="2" t="str">
        <v>Mới</v>
      </c>
      <c r="F85" s="2" t="str">
        <v>Quốc Tế</v>
      </c>
      <c r="G85" s="2"/>
      <c r="H85" s="2"/>
    </row>
    <row r="86">
      <c r="A86" s="7" t="str">
        <v>Trình Văn Phong</v>
      </c>
      <c r="B86" s="5" t="str">
        <v>Hồng Nhung</v>
      </c>
      <c r="C86" s="8">
        <v>46131</v>
      </c>
      <c r="D86" s="9">
        <v>46132</v>
      </c>
      <c r="E86" s="2" t="str">
        <v>Đang nuôi dưỡng</v>
      </c>
      <c r="F86" s="2" t="str">
        <v>Việt Nam</v>
      </c>
      <c r="G86" s="2"/>
      <c r="H86" s="4" t="str">
        <v>- Mình có đăng ký, đang dùng ở 1 bên khác thử rồi nhưng muốn tách ra dùng riêng nên thử đăng ký. Mới chỉ xem dữ liệu quảng cáo thôi chứ chưa thử hay quan tâm tính năng nào khác. Nếu cần thì mình liên hệ lại hỗ trợ sau. 150 TKQC vừa chạy cá nhân và vừa chạy cho khách -&gt; Kết bạn Zalo xác nhận thêm thông tin
- Không phản hồi -&gt; nhắn Zalo tiếp</v>
      </c>
    </row>
    <row r="87">
      <c r="A87" s="7" t="str">
        <v>Tran An</v>
      </c>
      <c r="B87" s="5" t="str">
        <v>Hồng Nhung</v>
      </c>
      <c r="C87" s="11">
        <v>46131</v>
      </c>
      <c r="D87" s="8">
        <v>46132</v>
      </c>
      <c r="E87" s="12" t="str">
        <v>Unqualified</v>
      </c>
      <c r="F87" s="2" t="str">
        <v>Việt Nam</v>
      </c>
      <c r="G87" s="2" t="str">
        <v>Rejected</v>
      </c>
      <c r="H87" s="2" t="str">
        <v>K nghe máy lần 2, đã kb + nt Zalo
Kh gọi lại bảo à mình đang chưa có nhu cầu đâu, khi nào có nhu cầu mình liên hệ sau</v>
      </c>
    </row>
    <row r="88">
      <c r="A88" s="7" t="str">
        <v>PHAN ANH KIỆT</v>
      </c>
      <c r="B88" s="5" t="str">
        <v>Hồng Nhung</v>
      </c>
      <c r="C88" s="11">
        <v>46131</v>
      </c>
      <c r="D88" s="8">
        <v>46132</v>
      </c>
      <c r="E88" s="12" t="str">
        <v>Unqualified</v>
      </c>
      <c r="F88" s="2" t="str">
        <v>Việt Nam</v>
      </c>
      <c r="G88" s="2" t="str">
        <v>Rejected</v>
      </c>
      <c r="H88" s="2" t="str">
        <v>Mình không có đăng ký</v>
      </c>
    </row>
    <row r="89">
      <c r="A89" s="7" t="str">
        <v>jack man</v>
      </c>
      <c r="B89" s="5" t="str">
        <v>Hồng Nhung</v>
      </c>
      <c r="C89" s="11">
        <v>46131</v>
      </c>
      <c r="D89" s="3"/>
      <c r="E89" s="12" t="str">
        <v>Mới</v>
      </c>
      <c r="F89" s="2" t="str">
        <v>Quốc Tế</v>
      </c>
      <c r="G89" s="2"/>
      <c r="H89" s="2"/>
    </row>
    <row r="90">
      <c r="A90" s="7" t="str">
        <v>Felipe</v>
      </c>
      <c r="B90" s="5" t="str">
        <v>Hồng Nhung</v>
      </c>
      <c r="C90" s="11">
        <v>46131</v>
      </c>
      <c r="D90" s="3"/>
      <c r="E90" s="12" t="str">
        <v>Mới</v>
      </c>
      <c r="F90" s="2" t="str">
        <v>Quốc Tế</v>
      </c>
      <c r="G90" s="2"/>
      <c r="H90" s="2"/>
    </row>
    <row r="91">
      <c r="A91" s="7" t="str">
        <v>Nguyễn Thiệp</v>
      </c>
      <c r="B91" s="5" t="str">
        <v>Hồng Nhung</v>
      </c>
      <c r="C91" s="11">
        <v>46131</v>
      </c>
      <c r="D91" s="8">
        <v>46132</v>
      </c>
      <c r="E91" s="12" t="str">
        <v>Đang nuôi dưỡng</v>
      </c>
      <c r="F91" s="2" t="str">
        <v>Việt Nam</v>
      </c>
      <c r="G91" s="2"/>
      <c r="H91" s="4" t="str">
        <v>15/4: Chạy vài trăm triệu 1 tháng, 50-100 TKQC. Đang quan tâm đến hóa đơn, thẻ để tự so khớp sao kê vs hóa đơn, quản lý khoản hold
20/4: Đến nay mới phản hồi lại, Bảo là bị trôi tin nhắn, kêu dùng được hết rồi, đòi báo giá. Báo giá xong thì bảo sẽ cân nhắc rồi liên hệ lại sau</v>
      </c>
    </row>
    <row r="92">
      <c r="A92" s="7" t="str">
        <v>Jason Wamilda</v>
      </c>
      <c r="B92" s="5" t="str">
        <v>Hồng Nhung</v>
      </c>
      <c r="C92" s="11">
        <v>46131</v>
      </c>
      <c r="D92" s="3"/>
      <c r="E92" s="12" t="str">
        <v>Mới</v>
      </c>
      <c r="F92" s="2" t="str">
        <v>Quốc Tế</v>
      </c>
      <c r="G92" s="2"/>
      <c r="H92" s="2"/>
    </row>
    <row r="93">
      <c r="A93" s="7" t="str">
        <v>tran xuan chien</v>
      </c>
      <c r="B93" s="5" t="str">
        <v>Hồng Nhung</v>
      </c>
      <c r="C93" s="11">
        <v>46131</v>
      </c>
      <c r="D93" s="8">
        <v>46132</v>
      </c>
      <c r="E93" s="12" t="str">
        <v>Unqualified</v>
      </c>
      <c r="F93" s="2" t="str">
        <v>Việt Nam</v>
      </c>
      <c r="G93" s="2" t="str">
        <v>Unreachable</v>
      </c>
      <c r="H93" s="2" t="str">
        <v>Gọi 3 lần, nt và kb Zalo k phản hồi</v>
      </c>
    </row>
    <row r="94">
      <c r="A94" s="7" t="str">
        <v>Nguyen Cao</v>
      </c>
      <c r="B94" s="5" t="str">
        <v>Hồng Nhung</v>
      </c>
      <c r="C94" s="11">
        <v>46131</v>
      </c>
      <c r="D94" s="8">
        <v>46132</v>
      </c>
      <c r="E94" s="12" t="str">
        <v>Unqualified</v>
      </c>
      <c r="F94" s="2" t="str">
        <v>Việt Nam</v>
      </c>
      <c r="G94" s="2" t="str">
        <v>Unreachable</v>
      </c>
      <c r="H94" s="2" t="str">
        <v>Gọi 3 lần, nt và kb Zalo k phản hồi</v>
      </c>
    </row>
    <row r="95">
      <c r="A95" s="7" t="str">
        <v>VO CHI TRUNG</v>
      </c>
      <c r="B95" s="5" t="str">
        <v>Hồng Nhung</v>
      </c>
      <c r="C95" s="11">
        <v>46131</v>
      </c>
      <c r="D95" s="8">
        <v>46132</v>
      </c>
      <c r="E95" s="12" t="str">
        <v>Đang nuôi dưỡng</v>
      </c>
      <c r="F95" s="2" t="str">
        <v>Việt Nam</v>
      </c>
      <c r="G95" s="2"/>
      <c r="H95" s="4" t="str">
        <v>13/4: KH này đã đăng ký 1 lần vào tháng 11. Anh đang bận, lát anh nhắn qua chat cho -&gt; Xin kết nối Zalo
16/4: mới phản hồi lại nhưng KH chỉ bông đùa chưa khai thác được KH thêm
20/4: K dùng thử, k bảo tư vấn sâu mà đòi báo giá. Chi tiêu 1-2B. Báo giá xong thái độ bất ngờ kêu đắt. Có trao đổi thêm là do KH chưa sử dụng nên chưa hiểu được hết giá trị sp đem lại thôi.
-&gt; Anh chỉ quan tâm đến cái hóa đơn thôi, k cần chức năng nào khác
-&gt; AE tư vấn lại thông tin gói Finance. KH không phản hồi tiếp</v>
      </c>
    </row>
    <row r="96">
      <c r="A96" s="7" t="str">
        <v>Weberz Agency</v>
      </c>
      <c r="B96" s="5" t="str">
        <v>Hồng Nhung</v>
      </c>
      <c r="C96" s="11">
        <v>46131</v>
      </c>
      <c r="D96" s="3"/>
      <c r="E96" s="12" t="str">
        <v>Mới</v>
      </c>
      <c r="F96" s="2" t="str">
        <v>Quốc Tế</v>
      </c>
      <c r="G96" s="2"/>
      <c r="H96" s="2"/>
    </row>
    <row r="97">
      <c r="A97" s="7" t="str">
        <v>Mega Ads</v>
      </c>
      <c r="B97" s="5" t="str">
        <v>Hồng Nhung</v>
      </c>
      <c r="C97" s="11">
        <v>46131</v>
      </c>
      <c r="D97" s="3"/>
      <c r="E97" s="12" t="str">
        <v>Mới</v>
      </c>
      <c r="F97" s="2" t="str">
        <v>Quốc Tế</v>
      </c>
      <c r="G97" s="2"/>
      <c r="H97" s="2"/>
    </row>
    <row r="98">
      <c r="A98" s="7" t="str">
        <v>Dung Mỹ</v>
      </c>
      <c r="B98" s="5" t="str">
        <v>Hồng Nhung</v>
      </c>
      <c r="C98" s="11">
        <v>46131</v>
      </c>
      <c r="D98" s="8">
        <v>46132</v>
      </c>
      <c r="E98" s="12" t="str">
        <v>Đang nuôi dưỡng</v>
      </c>
      <c r="F98" s="2" t="str">
        <v>Việt Nam</v>
      </c>
      <c r="G98" s="2"/>
      <c r="H98" s="4" t="str">
        <v>15/4: Chi tiêu 50tr/ngày, quản lý khoảng 100 TKQC. Quan tâm đến quản lý tập trung tài sản quảng cáo.
17/4: Mình tạm thời ngưng chạy qc, FB dạo này quét nhiều. Lúc nào cần hỗ trợ về phần mềm mình nhắn bạn sau nhé. -&gt; AE muốn trao đổi thêm kick KH dùng thử nhưng KH không phản hồi tiếp
20/4: Hỏi thăm lại thì bảo khi nào anh cài anh báo em sau nhé</v>
      </c>
    </row>
    <row r="99">
      <c r="A99" s="7" t="str">
        <v>Rudy</v>
      </c>
      <c r="B99" s="5" t="str">
        <v>Hồng Nhung</v>
      </c>
      <c r="C99" s="8">
        <v>46131</v>
      </c>
      <c r="D99" s="15"/>
      <c r="E99" s="2" t="str">
        <v>Mới</v>
      </c>
      <c r="F99" s="2" t="str">
        <v>Quốc Tế</v>
      </c>
      <c r="G99" s="2"/>
      <c r="H99" s="2"/>
    </row>
    <row r="100">
      <c r="A100" s="7" t="str">
        <v>MR MT</v>
      </c>
      <c r="B100" s="5" t="str">
        <v>Hồng Nhung</v>
      </c>
      <c r="C100" s="8">
        <v>46131</v>
      </c>
      <c r="D100" s="6"/>
      <c r="E100" s="2" t="str">
        <v>Mới</v>
      </c>
      <c r="F100" s="2" t="str">
        <v>Quốc Tế</v>
      </c>
      <c r="G100" s="2"/>
      <c r="H100" s="2"/>
    </row>
    <row r="101">
      <c r="A101" s="7" t="str">
        <v>kkcc</v>
      </c>
      <c r="B101" s="5" t="str">
        <v>Hồng Nhung</v>
      </c>
      <c r="C101" s="8">
        <v>46131</v>
      </c>
      <c r="D101" s="6"/>
      <c r="E101" s="2" t="str">
        <v>Mới</v>
      </c>
      <c r="F101" s="2" t="str">
        <v>Quốc Tế</v>
      </c>
      <c r="G101" s="2"/>
      <c r="H101" s="2"/>
    </row>
    <row r="102">
      <c r="A102" s="7" t="str">
        <v>Heather Morgan</v>
      </c>
      <c r="B102" s="5" t="str">
        <v>Hồng Nhung</v>
      </c>
      <c r="C102" s="8">
        <v>46131</v>
      </c>
      <c r="D102" s="6"/>
      <c r="E102" s="2" t="str">
        <v>Mới</v>
      </c>
      <c r="F102" s="2" t="str">
        <v>Quốc Tế</v>
      </c>
      <c r="G102" s="2"/>
      <c r="H102" s="2"/>
    </row>
    <row r="103">
      <c r="A103" s="7" t="str">
        <v>LongNguyen</v>
      </c>
      <c r="B103" s="5" t="str">
        <v>Hồng Nhung</v>
      </c>
      <c r="C103" s="8">
        <v>46131</v>
      </c>
      <c r="D103" s="6"/>
      <c r="E103" s="2" t="str">
        <v>Mới</v>
      </c>
      <c r="F103" s="2" t="str">
        <v>Quốc Tế</v>
      </c>
      <c r="G103" s="2"/>
      <c r="H103" s="2"/>
    </row>
    <row r="104">
      <c r="A104" s="7" t="str">
        <v>Munchittha Jaikham</v>
      </c>
      <c r="B104" s="5" t="str">
        <v>Hồng Nhung</v>
      </c>
      <c r="C104" s="8">
        <v>46131</v>
      </c>
      <c r="D104" s="6"/>
      <c r="E104" s="2" t="str">
        <v>Mới</v>
      </c>
      <c r="F104" s="2" t="str">
        <v>Quốc Tế</v>
      </c>
      <c r="G104" s="2"/>
      <c r="H104" s="2"/>
    </row>
    <row r="105">
      <c r="A105" s="7" t="str">
        <v>opzeehb5547</v>
      </c>
      <c r="B105" s="5" t="str">
        <v>Hồng Nhung</v>
      </c>
      <c r="C105" s="8">
        <v>46131</v>
      </c>
      <c r="D105" s="6"/>
      <c r="E105" s="2" t="str">
        <v>Mới</v>
      </c>
      <c r="F105" s="2" t="str">
        <v>Quốc Tế</v>
      </c>
      <c r="G105" s="2"/>
      <c r="H105" s="2"/>
    </row>
    <row r="106">
      <c r="A106" s="7" t="str">
        <v>Tan Thanh</v>
      </c>
      <c r="B106" s="5" t="str">
        <v>Hồng Nhung</v>
      </c>
      <c r="C106" s="8">
        <v>46131</v>
      </c>
      <c r="D106" s="9">
        <v>46132</v>
      </c>
      <c r="E106" s="2" t="str">
        <v>Unqualified</v>
      </c>
      <c r="F106" s="2" t="str">
        <v>Việt Nam</v>
      </c>
      <c r="G106" s="2" t="str">
        <v>Unreachable</v>
      </c>
      <c r="H106" s="2" t="str">
        <v>Sub này nhắn trên Fanpage trước, hỗ trợ đồng bộ TK và kết nối năng cao xong không phản hồi tiếp.
Gọi không nghe máy, nhắn Zalo không phản hồi</v>
      </c>
    </row>
    <row r="107">
      <c r="A107" s="7" t="str">
        <v>Tim</v>
      </c>
      <c r="B107" s="5" t="str">
        <v>Hồng Nhung</v>
      </c>
      <c r="C107" s="8">
        <v>46131</v>
      </c>
      <c r="D107" s="6"/>
      <c r="E107" s="2" t="str">
        <v>Mới</v>
      </c>
      <c r="F107" s="2" t="str">
        <v>Quốc Tế</v>
      </c>
      <c r="G107" s="2"/>
      <c r="H107" s="2"/>
    </row>
    <row r="108">
      <c r="A108" s="7" t="str">
        <v>areeb</v>
      </c>
      <c r="B108" s="5" t="str">
        <v>Hồng Nhung</v>
      </c>
      <c r="C108" s="8">
        <v>46131</v>
      </c>
      <c r="D108" s="6"/>
      <c r="E108" s="2" t="str">
        <v>Mới</v>
      </c>
      <c r="F108" s="2" t="str">
        <v>Quốc Tế</v>
      </c>
      <c r="G108" s="2"/>
      <c r="H108" s="2"/>
    </row>
    <row r="109">
      <c r="A109" s="7" t="str">
        <v>SENV</v>
      </c>
      <c r="B109" s="5" t="str">
        <v>Hồng Nhung</v>
      </c>
      <c r="C109" s="8">
        <v>46131</v>
      </c>
      <c r="D109" s="6"/>
      <c r="E109" s="2" t="str">
        <v>Mới</v>
      </c>
      <c r="F109" s="2" t="str">
        <v>Quốc Tế</v>
      </c>
      <c r="G109" s="2"/>
      <c r="H109" s="2"/>
    </row>
    <row r="110">
      <c r="A110" s="7" t="str">
        <v>keding</v>
      </c>
      <c r="B110" s="5" t="str">
        <v>Hồng Nhung</v>
      </c>
      <c r="C110" s="8">
        <v>46131</v>
      </c>
      <c r="D110" s="6"/>
      <c r="E110" s="2" t="str">
        <v>Mới</v>
      </c>
      <c r="F110" s="2" t="str">
        <v>Quốc Tế</v>
      </c>
      <c r="G110" s="2"/>
      <c r="H110" s="2"/>
    </row>
    <row r="111">
      <c r="A111" s="7" t="str">
        <v>Pavlo Chmuda</v>
      </c>
      <c r="B111" s="5" t="str">
        <v>Hồng Nhung</v>
      </c>
      <c r="C111" s="8">
        <v>46131</v>
      </c>
      <c r="D111" s="6"/>
      <c r="E111" s="2" t="str">
        <v>Mới</v>
      </c>
      <c r="F111" s="2" t="str">
        <v>Quốc Tế</v>
      </c>
      <c r="G111" s="2"/>
      <c r="H111" s="2"/>
    </row>
    <row r="112">
      <c r="A112" s="7" t="str">
        <v>Phan Đăng</v>
      </c>
      <c r="B112" s="5" t="str">
        <v>Hồng Nhung</v>
      </c>
      <c r="C112" s="8">
        <v>46131</v>
      </c>
      <c r="D112" s="9">
        <v>46132</v>
      </c>
      <c r="E112" s="2" t="str">
        <v>Đang nuôi dưỡng</v>
      </c>
      <c r="F112" s="2" t="str">
        <v>Việt Nam</v>
      </c>
      <c r="G112" s="2"/>
      <c r="H112" s="4" t="str">
        <v>- Sub nhắn trên Fanpage, Nhung link sang SMIT Agency tư vấn thêm. 
- 3/4: Anh này đã tư vấn sâu, quan tâm đến backup dữ liệu, mất quyền TK thì sẽ báo về. K chia sẻ ngân sách cụ thể nhưng có hỏi giá về gói ngân sách 10 tỷ/tháng. đang bận quá nên chưa vào test đc, đang khó khăn khi đồng bộ vào
- Đến 9/4 không phản hồi, gọi kêu dạo này bận quá
- 15/4: Có hỏi về gói thông báo mất quyền là gói nào nhưng AE hướng dẫn dùng thử thì bảo chỉ tham khảo gói trước thôi, khi nào rảnh thì hỏi sau. Sau đó k phản hồi tiếp
- 19/4: AE nhắn thêm thì 19/4 (chủ nhật) kêu thứ 2 hỗ trợ dùng thử nhưng sau khi xin báo giá thì k phản hồi gì nữa, hẹn t2 hỗ trợ dùng thử cũng k nói gì
- 20/4: Chiều hỏi KH để dùng thử thì KH nhắn hỏi về số lượng TKQC chỉ có 800 thôi à, mua thêm phải 3k 1 tài khoản à. Bên KH có tận 4-5k tài khoản cơ, để KH cân nhắc đã nhé. Có cố khai thác thêm nhưng KH không chia sẻ nhiều chỉ bảo sẽ bàn lại rồi phản hồi sau</v>
      </c>
    </row>
    <row r="113">
      <c r="A113" s="7" t="str">
        <v>Tygo Markus</v>
      </c>
      <c r="B113" s="5" t="str">
        <v>Hồng Nhung</v>
      </c>
      <c r="C113" s="8">
        <v>46131</v>
      </c>
      <c r="D113" s="6"/>
      <c r="E113" s="2" t="str">
        <v>Mới</v>
      </c>
      <c r="F113" s="2" t="str">
        <v>Quốc Tế</v>
      </c>
      <c r="G113" s="2"/>
      <c r="H113" s="2"/>
    </row>
    <row r="114">
      <c r="A114" s="7" t="str">
        <v>zhegulian111</v>
      </c>
      <c r="B114" s="5" t="str">
        <v>Hồng Nhung</v>
      </c>
      <c r="C114" s="8">
        <v>46131</v>
      </c>
      <c r="D114" s="6"/>
      <c r="E114" s="2" t="str">
        <v>Mới</v>
      </c>
      <c r="F114" s="2" t="str">
        <v>Quốc Tế</v>
      </c>
      <c r="G114" s="2"/>
      <c r="H114" s="2"/>
    </row>
    <row r="115">
      <c r="A115" s="7" t="str">
        <v>jagger</v>
      </c>
      <c r="B115" s="5" t="str">
        <v>Hồng Nhung</v>
      </c>
      <c r="C115" s="8">
        <v>46131</v>
      </c>
      <c r="D115" s="6"/>
      <c r="E115" s="2" t="str">
        <v>Mới</v>
      </c>
      <c r="F115" s="2" t="str">
        <v>Quốc Tế</v>
      </c>
      <c r="G115" s="2"/>
      <c r="H115" s="2"/>
    </row>
    <row r="116">
      <c r="A116" s="7" t="str">
        <v>Support ScaleShield</v>
      </c>
      <c r="B116" s="5" t="str">
        <v>Hồng Nhung</v>
      </c>
      <c r="C116" s="8">
        <v>46131</v>
      </c>
      <c r="D116" s="6"/>
      <c r="E116" s="2" t="str">
        <v>Mới</v>
      </c>
      <c r="F116" s="2" t="str">
        <v>Quốc Tế</v>
      </c>
      <c r="G116" s="2"/>
      <c r="H116" s="2"/>
    </row>
    <row r="117">
      <c r="A117" s="2" t="str">
        <v>Lucifer</v>
      </c>
      <c r="B117" s="12" t="str">
        <v>Hồng Nhung</v>
      </c>
      <c r="C117" s="21">
        <v>46132</v>
      </c>
      <c r="D117" s="9">
        <v>46132</v>
      </c>
      <c r="E117" s="2" t="str">
        <v>Đang liên hệ</v>
      </c>
      <c r="F117" s="2" t="str">
        <v>Việt Nam</v>
      </c>
      <c r="G117" s="2"/>
      <c r="H117" s="2" t="str">
        <v>- 20/4: Baayh anh đang rất là bận, có gì anh gọi lại sau</v>
      </c>
    </row>
    <row r="118">
      <c r="A118" s="2"/>
      <c r="B118" s="12"/>
      <c r="C118" s="3"/>
      <c r="D118" s="3"/>
      <c r="E118" s="2"/>
      <c r="F118" s="2"/>
      <c r="G118" s="2"/>
      <c r="H118" s="2"/>
    </row>
    <row r="119">
      <c r="A119" s="22"/>
      <c r="B119" s="2"/>
      <c r="C119" s="3"/>
      <c r="D119" s="3"/>
      <c r="E119" s="2"/>
      <c r="F119" s="2"/>
      <c r="G119" s="2"/>
      <c r="H119" s="2"/>
    </row>
    <row r="120">
      <c r="A120" s="2"/>
      <c r="B120" s="2"/>
      <c r="C120" s="3"/>
      <c r="D120" s="3"/>
      <c r="E120" s="2"/>
      <c r="F120" s="2"/>
      <c r="G120" s="2"/>
      <c r="H120" s="2"/>
    </row>
    <row r="121">
      <c r="A121" s="2"/>
      <c r="B121" s="2"/>
      <c r="C121" s="3"/>
      <c r="D121" s="3"/>
      <c r="E121" s="2"/>
      <c r="F121" s="2"/>
      <c r="G121" s="2"/>
      <c r="H121" s="2"/>
    </row>
    <row r="122">
      <c r="A122" s="2"/>
      <c r="B122" s="2"/>
      <c r="C122" s="3"/>
      <c r="D122" s="3"/>
      <c r="E122" s="2"/>
      <c r="F122" s="2"/>
      <c r="G122" s="2"/>
      <c r="H122" s="2"/>
    </row>
    <row r="123">
      <c r="A123" s="2"/>
      <c r="B123" s="2"/>
      <c r="C123" s="3"/>
      <c r="D123" s="3"/>
      <c r="E123" s="2"/>
      <c r="F123" s="2"/>
      <c r="G123" s="2"/>
      <c r="H123" s="2"/>
    </row>
    <row r="124">
      <c r="A124" s="2"/>
      <c r="B124" s="2"/>
      <c r="C124" s="3"/>
      <c r="D124" s="3"/>
      <c r="E124" s="2"/>
      <c r="F124" s="2"/>
      <c r="G124" s="2"/>
      <c r="H124" s="2"/>
    </row>
    <row r="125">
      <c r="A125" s="2"/>
      <c r="B125" s="2"/>
      <c r="C125" s="3"/>
      <c r="D125" s="3"/>
      <c r="E125" s="2"/>
      <c r="F125" s="2"/>
      <c r="G125" s="2"/>
      <c r="H125" s="2"/>
    </row>
    <row r="126">
      <c r="A126" s="2"/>
      <c r="B126" s="2"/>
      <c r="C126" s="3"/>
      <c r="D126" s="3"/>
      <c r="E126" s="2"/>
      <c r="F126" s="2"/>
      <c r="G126" s="2"/>
      <c r="H126" s="2"/>
    </row>
    <row r="127">
      <c r="A127" s="2"/>
      <c r="B127" s="2"/>
      <c r="C127" s="3"/>
      <c r="D127" s="3"/>
      <c r="E127" s="2"/>
      <c r="F127" s="2"/>
      <c r="G127" s="2"/>
      <c r="H127" s="2"/>
    </row>
    <row r="128">
      <c r="A128" s="2"/>
      <c r="B128" s="2"/>
      <c r="C128" s="3"/>
      <c r="D128" s="3"/>
      <c r="E128" s="2"/>
      <c r="F128" s="2"/>
      <c r="G128" s="2"/>
      <c r="H128" s="2"/>
    </row>
    <row r="129">
      <c r="A129" s="2"/>
      <c r="B129" s="2"/>
      <c r="C129" s="3"/>
      <c r="D129" s="3"/>
      <c r="E129" s="2"/>
      <c r="F129" s="2"/>
      <c r="G129" s="2"/>
      <c r="H129" s="2"/>
    </row>
    <row r="130">
      <c r="A130" s="2"/>
      <c r="B130" s="2"/>
      <c r="C130" s="3"/>
      <c r="D130" s="3"/>
      <c r="E130" s="2"/>
      <c r="F130" s="2"/>
      <c r="G130" s="2"/>
      <c r="H130" s="2"/>
    </row>
    <row r="131">
      <c r="A131" s="2"/>
      <c r="B131" s="2"/>
      <c r="C131" s="3"/>
      <c r="D131" s="3"/>
      <c r="E131" s="2"/>
      <c r="F131" s="2"/>
      <c r="G131" s="2"/>
      <c r="H131" s="2"/>
    </row>
    <row r="132">
      <c r="A132" s="2"/>
      <c r="B132" s="2"/>
      <c r="C132" s="3"/>
      <c r="D132" s="3"/>
      <c r="E132" s="2"/>
      <c r="F132" s="2"/>
      <c r="G132" s="2"/>
      <c r="H132" s="2"/>
    </row>
    <row r="133">
      <c r="A133" s="2"/>
      <c r="B133" s="2"/>
      <c r="C133" s="3"/>
      <c r="D133" s="3"/>
      <c r="E133" s="2"/>
      <c r="F133" s="2"/>
      <c r="G133" s="2"/>
      <c r="H133" s="2"/>
    </row>
    <row r="134">
      <c r="A134" s="2"/>
      <c r="B134" s="2"/>
      <c r="C134" s="3"/>
      <c r="D134" s="3"/>
      <c r="E134" s="2"/>
      <c r="F134" s="2"/>
      <c r="G134" s="2"/>
      <c r="H134" s="2"/>
    </row>
    <row r="135">
      <c r="A135" s="2"/>
      <c r="B135" s="2"/>
      <c r="C135" s="3"/>
      <c r="D135" s="3"/>
      <c r="E135" s="2"/>
      <c r="F135" s="2"/>
      <c r="G135" s="2"/>
      <c r="H135" s="2"/>
    </row>
    <row r="136">
      <c r="A136" s="2"/>
      <c r="B136" s="2"/>
      <c r="C136" s="3"/>
      <c r="D136" s="3"/>
      <c r="E136" s="2"/>
      <c r="F136" s="2"/>
      <c r="G136" s="2"/>
      <c r="H136" s="2"/>
    </row>
    <row r="137">
      <c r="A137" s="2"/>
      <c r="B137" s="2"/>
      <c r="C137" s="3"/>
      <c r="D137" s="3"/>
      <c r="E137" s="2"/>
      <c r="F137" s="2"/>
      <c r="G137" s="2"/>
      <c r="H137" s="2"/>
    </row>
    <row r="138">
      <c r="A138" s="2"/>
      <c r="B138" s="2"/>
      <c r="C138" s="3"/>
      <c r="D138" s="3"/>
      <c r="E138" s="2"/>
      <c r="F138" s="2"/>
      <c r="G138" s="2"/>
      <c r="H138" s="2"/>
    </row>
    <row r="139">
      <c r="A139" s="2"/>
      <c r="B139" s="2"/>
      <c r="C139" s="3"/>
      <c r="D139" s="3"/>
      <c r="E139" s="2"/>
      <c r="F139" s="2"/>
      <c r="G139" s="2"/>
      <c r="H139" s="2"/>
    </row>
    <row r="140">
      <c r="A140" s="2"/>
      <c r="B140" s="2"/>
      <c r="C140" s="3"/>
      <c r="D140" s="3"/>
      <c r="E140" s="2"/>
      <c r="F140" s="2"/>
      <c r="G140" s="2"/>
      <c r="H140" s="2"/>
    </row>
    <row r="141">
      <c r="A141" s="2"/>
      <c r="B141" s="2"/>
      <c r="C141" s="3"/>
      <c r="D141" s="3"/>
      <c r="E141" s="2"/>
      <c r="F141" s="2"/>
      <c r="G141" s="2"/>
      <c r="H141" s="2"/>
    </row>
    <row r="142">
      <c r="A142" s="2"/>
      <c r="B142" s="2"/>
      <c r="C142" s="3"/>
      <c r="D142" s="3"/>
      <c r="E142" s="2"/>
      <c r="F142" s="2"/>
      <c r="G142" s="2"/>
      <c r="H142" s="2"/>
    </row>
    <row r="143">
      <c r="A143" s="2"/>
      <c r="B143" s="2"/>
      <c r="C143" s="3"/>
      <c r="D143" s="3"/>
      <c r="E143" s="2"/>
      <c r="F143" s="2"/>
      <c r="G143" s="2"/>
      <c r="H143" s="2"/>
    </row>
    <row r="144">
      <c r="A144" s="2"/>
      <c r="B144" s="2"/>
      <c r="C144" s="3"/>
      <c r="D144" s="3"/>
      <c r="E144" s="2"/>
      <c r="F144" s="2"/>
      <c r="G144" s="2"/>
      <c r="H144" s="2"/>
    </row>
    <row r="145">
      <c r="A145" s="2"/>
      <c r="B145" s="2"/>
      <c r="C145" s="3"/>
      <c r="D145" s="3"/>
      <c r="E145" s="2"/>
      <c r="F145" s="2"/>
      <c r="G145" s="2"/>
      <c r="H145" s="2"/>
    </row>
    <row r="146">
      <c r="A146" s="2"/>
      <c r="B146" s="2"/>
      <c r="C146" s="3"/>
      <c r="D146" s="3"/>
      <c r="E146" s="2"/>
      <c r="F146" s="2"/>
      <c r="G146" s="2"/>
      <c r="H146" s="2"/>
    </row>
    <row r="147">
      <c r="A147" s="2"/>
      <c r="B147" s="2"/>
      <c r="C147" s="3"/>
      <c r="D147" s="3"/>
      <c r="E147" s="2"/>
      <c r="F147" s="2"/>
      <c r="G147" s="2"/>
      <c r="H147" s="2"/>
    </row>
    <row r="148">
      <c r="A148" s="2"/>
      <c r="B148" s="2"/>
      <c r="C148" s="3"/>
      <c r="D148" s="3"/>
      <c r="E148" s="2"/>
      <c r="F148" s="2"/>
      <c r="G148" s="2"/>
      <c r="H148" s="2"/>
    </row>
    <row r="149">
      <c r="A149" s="2"/>
      <c r="B149" s="2"/>
      <c r="C149" s="3"/>
      <c r="D149" s="3"/>
      <c r="E149" s="2"/>
      <c r="F149" s="2"/>
      <c r="G149" s="2"/>
      <c r="H149" s="2"/>
    </row>
    <row r="150">
      <c r="A150" s="2"/>
      <c r="B150" s="2"/>
      <c r="C150" s="3"/>
      <c r="D150" s="3"/>
      <c r="E150" s="2"/>
      <c r="F150" s="2"/>
      <c r="G150" s="2"/>
      <c r="H150" s="2"/>
    </row>
    <row r="151">
      <c r="A151" s="2"/>
      <c r="B151" s="2"/>
      <c r="C151" s="3"/>
      <c r="D151" s="3"/>
      <c r="E151" s="2"/>
      <c r="F151" s="2"/>
      <c r="G151" s="2"/>
      <c r="H151" s="2"/>
    </row>
    <row r="152">
      <c r="A152" s="2"/>
      <c r="B152" s="2"/>
      <c r="C152" s="3"/>
      <c r="D152" s="3"/>
      <c r="E152" s="2"/>
      <c r="F152" s="2"/>
      <c r="G152" s="2"/>
      <c r="H152" s="2"/>
    </row>
    <row r="153">
      <c r="A153" s="2"/>
      <c r="B153" s="2"/>
      <c r="C153" s="3"/>
      <c r="D153" s="3"/>
      <c r="E153" s="2"/>
      <c r="F153" s="2"/>
      <c r="G153" s="2"/>
      <c r="H153" s="2"/>
    </row>
    <row r="154">
      <c r="A154" s="2"/>
      <c r="B154" s="2"/>
      <c r="C154" s="3"/>
      <c r="D154" s="3"/>
      <c r="E154" s="2"/>
      <c r="F154" s="2"/>
      <c r="G154" s="2"/>
      <c r="H154" s="2"/>
    </row>
    <row r="155">
      <c r="A155" s="2"/>
      <c r="B155" s="2"/>
      <c r="C155" s="3"/>
      <c r="D155" s="3"/>
      <c r="E155" s="2"/>
      <c r="F155" s="2"/>
      <c r="G155" s="2"/>
      <c r="H155" s="2"/>
    </row>
    <row r="156">
      <c r="A156" s="2"/>
      <c r="B156" s="2"/>
      <c r="C156" s="3"/>
      <c r="D156" s="3"/>
      <c r="E156" s="2"/>
      <c r="F156" s="2"/>
      <c r="G156" s="2"/>
      <c r="H156" s="2"/>
    </row>
    <row r="157">
      <c r="A157" s="2"/>
      <c r="B157" s="2"/>
      <c r="C157" s="3"/>
      <c r="D157" s="3"/>
      <c r="E157" s="2"/>
      <c r="F157" s="2"/>
      <c r="G157" s="2"/>
      <c r="H157" s="2"/>
    </row>
    <row r="158">
      <c r="A158" s="2"/>
      <c r="B158" s="2"/>
      <c r="C158" s="3"/>
      <c r="D158" s="3"/>
      <c r="E158" s="2"/>
      <c r="F158" s="2"/>
      <c r="G158" s="2"/>
      <c r="H158" s="2"/>
    </row>
    <row r="159">
      <c r="A159" s="2"/>
      <c r="B159" s="2"/>
      <c r="C159" s="3"/>
      <c r="D159" s="3"/>
      <c r="E159" s="2"/>
      <c r="F159" s="2"/>
      <c r="G159" s="2"/>
      <c r="H159" s="2"/>
    </row>
    <row r="160">
      <c r="A160" s="2"/>
      <c r="B160" s="2"/>
      <c r="C160" s="3"/>
      <c r="D160" s="3"/>
      <c r="E160" s="2"/>
      <c r="F160" s="2"/>
      <c r="G160" s="2"/>
      <c r="H160" s="2"/>
    </row>
    <row r="161">
      <c r="A161" s="2"/>
      <c r="B161" s="2"/>
      <c r="C161" s="3"/>
      <c r="D161" s="3"/>
      <c r="E161" s="2"/>
      <c r="F161" s="2"/>
      <c r="G161" s="2"/>
      <c r="H161" s="2"/>
    </row>
    <row r="162">
      <c r="A162" s="2"/>
      <c r="B162" s="2"/>
      <c r="C162" s="3"/>
      <c r="D162" s="3"/>
      <c r="E162" s="2"/>
      <c r="F162" s="2"/>
      <c r="G162" s="2"/>
      <c r="H162" s="2"/>
    </row>
    <row r="163">
      <c r="A163" s="2"/>
      <c r="B163" s="2"/>
      <c r="C163" s="3"/>
      <c r="D163" s="3"/>
      <c r="E163" s="2"/>
      <c r="F163" s="2"/>
      <c r="G163" s="2"/>
      <c r="H163" s="2"/>
    </row>
    <row r="164">
      <c r="A164" s="2"/>
      <c r="B164" s="2"/>
      <c r="C164" s="3"/>
      <c r="D164" s="3"/>
      <c r="E164" s="2"/>
      <c r="F164" s="2"/>
      <c r="G164" s="2"/>
      <c r="H164" s="2"/>
    </row>
    <row r="165">
      <c r="A165" s="2"/>
      <c r="B165" s="2"/>
      <c r="C165" s="3"/>
      <c r="D165" s="3"/>
      <c r="E165" s="2"/>
      <c r="F165" s="2"/>
      <c r="G165" s="2"/>
      <c r="H165" s="2"/>
    </row>
    <row r="166">
      <c r="A166" s="2"/>
      <c r="B166" s="2"/>
      <c r="C166" s="3"/>
      <c r="D166" s="3"/>
      <c r="E166" s="2"/>
      <c r="F166" s="2"/>
      <c r="G166" s="2"/>
      <c r="H166" s="2"/>
    </row>
    <row r="167">
      <c r="A167" s="2"/>
      <c r="B167" s="2"/>
      <c r="C167" s="3"/>
      <c r="D167" s="3"/>
      <c r="E167" s="2"/>
      <c r="F167" s="2"/>
      <c r="G167" s="2"/>
      <c r="H167" s="2"/>
    </row>
    <row r="168">
      <c r="A168" s="2"/>
      <c r="B168" s="2"/>
      <c r="C168" s="3"/>
      <c r="D168" s="3"/>
      <c r="E168" s="2"/>
      <c r="F168" s="2"/>
      <c r="G168" s="2"/>
      <c r="H168" s="2"/>
    </row>
    <row r="169">
      <c r="A169" s="2"/>
      <c r="B169" s="2"/>
      <c r="C169" s="3"/>
      <c r="D169" s="3"/>
      <c r="E169" s="2"/>
      <c r="F169" s="2"/>
      <c r="G169" s="2"/>
      <c r="H169" s="2"/>
    </row>
    <row r="170">
      <c r="A170" s="2"/>
      <c r="B170" s="2"/>
      <c r="C170" s="3"/>
      <c r="D170" s="3"/>
      <c r="E170" s="2"/>
      <c r="F170" s="2"/>
      <c r="G170" s="2"/>
      <c r="H170" s="2"/>
    </row>
    <row r="171">
      <c r="A171" s="2"/>
      <c r="B171" s="2"/>
      <c r="C171" s="3"/>
      <c r="D171" s="3"/>
      <c r="E171" s="2"/>
      <c r="F171" s="2"/>
      <c r="G171" s="2"/>
      <c r="H171" s="2"/>
    </row>
    <row r="172">
      <c r="A172" s="2"/>
      <c r="B172" s="2"/>
      <c r="C172" s="3"/>
      <c r="D172" s="3"/>
      <c r="E172" s="2"/>
      <c r="F172" s="2"/>
      <c r="G172" s="2"/>
      <c r="H172" s="2"/>
    </row>
    <row r="173">
      <c r="A173" s="2"/>
      <c r="B173" s="2"/>
      <c r="C173" s="3"/>
      <c r="D173" s="3"/>
      <c r="E173" s="2"/>
      <c r="F173" s="2"/>
      <c r="G173" s="2"/>
      <c r="H173" s="2"/>
    </row>
    <row r="174">
      <c r="A174" s="2"/>
      <c r="B174" s="2"/>
      <c r="C174" s="3"/>
      <c r="D174" s="3"/>
      <c r="E174" s="2"/>
      <c r="F174" s="2"/>
      <c r="G174" s="2"/>
      <c r="H174" s="2"/>
    </row>
    <row r="175">
      <c r="A175" s="2"/>
      <c r="B175" s="2"/>
      <c r="C175" s="3"/>
      <c r="D175" s="3"/>
      <c r="E175" s="2"/>
      <c r="F175" s="2"/>
      <c r="G175" s="2"/>
      <c r="H175" s="2"/>
    </row>
    <row r="176">
      <c r="A176" s="2"/>
      <c r="B176" s="2"/>
      <c r="C176" s="3"/>
      <c r="D176" s="3"/>
      <c r="E176" s="2"/>
      <c r="F176" s="2"/>
      <c r="G176" s="2"/>
      <c r="H176" s="2"/>
    </row>
    <row r="177">
      <c r="A177" s="2"/>
      <c r="B177" s="2"/>
      <c r="C177" s="3"/>
      <c r="D177" s="3"/>
      <c r="E177" s="2"/>
      <c r="F177" s="2"/>
      <c r="G177" s="2"/>
      <c r="H177" s="2"/>
    </row>
    <row r="178">
      <c r="A178" s="2"/>
      <c r="B178" s="2"/>
      <c r="C178" s="3"/>
      <c r="D178" s="3"/>
      <c r="E178" s="2"/>
      <c r="F178" s="2"/>
      <c r="G178" s="2"/>
      <c r="H178" s="2"/>
    </row>
    <row r="179">
      <c r="A179" s="2"/>
      <c r="B179" s="2"/>
      <c r="C179" s="3"/>
      <c r="D179" s="3"/>
      <c r="E179" s="2"/>
      <c r="F179" s="2"/>
      <c r="G179" s="2"/>
      <c r="H179" s="2"/>
    </row>
    <row r="180">
      <c r="A180" s="2"/>
      <c r="B180" s="2"/>
      <c r="C180" s="3"/>
      <c r="D180" s="3"/>
      <c r="E180" s="2"/>
      <c r="F180" s="2"/>
      <c r="G180" s="2"/>
      <c r="H180" s="2"/>
    </row>
    <row r="181">
      <c r="A181" s="2"/>
      <c r="B181" s="2"/>
      <c r="C181" s="3"/>
      <c r="D181" s="3"/>
      <c r="E181" s="2"/>
      <c r="F181" s="2"/>
      <c r="G181" s="2"/>
      <c r="H181" s="2"/>
    </row>
    <row r="182">
      <c r="A182" s="2"/>
      <c r="B182" s="2"/>
      <c r="C182" s="3"/>
      <c r="D182" s="3"/>
      <c r="E182" s="2"/>
      <c r="F182" s="2"/>
      <c r="G182" s="2"/>
      <c r="H182" s="2"/>
    </row>
    <row r="183">
      <c r="A183" s="2"/>
      <c r="B183" s="2"/>
      <c r="C183" s="3"/>
      <c r="D183" s="3"/>
      <c r="E183" s="2"/>
      <c r="F183" s="2"/>
      <c r="G183" s="2"/>
      <c r="H183" s="2"/>
    </row>
    <row r="184">
      <c r="A184" s="2"/>
      <c r="B184" s="2"/>
      <c r="C184" s="3"/>
      <c r="D184" s="3"/>
      <c r="E184" s="2"/>
      <c r="F184" s="2"/>
      <c r="G184" s="2"/>
      <c r="H184" s="2"/>
    </row>
    <row r="185">
      <c r="A185" s="2"/>
      <c r="B185" s="2"/>
      <c r="C185" s="3"/>
      <c r="D185" s="3"/>
      <c r="E185" s="2"/>
      <c r="F185" s="2"/>
      <c r="G185" s="2"/>
      <c r="H185" s="2"/>
    </row>
    <row r="186">
      <c r="A186" s="2"/>
      <c r="B186" s="2"/>
      <c r="C186" s="3"/>
      <c r="D186" s="3"/>
      <c r="E186" s="2"/>
      <c r="F186" s="2"/>
      <c r="G186" s="2"/>
      <c r="H186" s="2"/>
    </row>
    <row r="187">
      <c r="A187" s="2"/>
      <c r="B187" s="2"/>
      <c r="C187" s="3"/>
      <c r="D187" s="3"/>
      <c r="E187" s="2"/>
      <c r="F187" s="2"/>
      <c r="G187" s="2"/>
      <c r="H187" s="2"/>
    </row>
    <row r="188">
      <c r="A188" s="2"/>
      <c r="B188" s="2"/>
      <c r="C188" s="3"/>
      <c r="D188" s="3"/>
      <c r="E188" s="2"/>
      <c r="F188" s="2"/>
      <c r="G188" s="2"/>
      <c r="H188" s="2"/>
    </row>
    <row r="189">
      <c r="A189" s="2"/>
      <c r="B189" s="2"/>
      <c r="C189" s="3"/>
      <c r="D189" s="3"/>
      <c r="E189" s="2"/>
      <c r="F189" s="2"/>
      <c r="G189" s="2"/>
      <c r="H189" s="2"/>
    </row>
    <row r="190">
      <c r="A190" s="2"/>
      <c r="B190" s="2"/>
      <c r="C190" s="3"/>
      <c r="D190" s="3"/>
      <c r="E190" s="2"/>
      <c r="F190" s="2"/>
      <c r="G190" s="2"/>
      <c r="H190" s="2"/>
    </row>
    <row r="191">
      <c r="A191" s="2"/>
      <c r="B191" s="2"/>
      <c r="C191" s="3"/>
      <c r="D191" s="3"/>
      <c r="E191" s="2"/>
      <c r="F191" s="2"/>
      <c r="G191" s="2"/>
      <c r="H191" s="2"/>
    </row>
    <row r="192">
      <c r="A192" s="2"/>
      <c r="B192" s="2"/>
      <c r="C192" s="3"/>
      <c r="D192" s="3"/>
      <c r="E192" s="2"/>
      <c r="F192" s="2"/>
      <c r="G192" s="2"/>
      <c r="H192" s="2"/>
    </row>
    <row r="193">
      <c r="A193" s="2"/>
      <c r="B193" s="2"/>
      <c r="C193" s="3"/>
      <c r="D193" s="3"/>
      <c r="E193" s="2"/>
      <c r="F193" s="2"/>
      <c r="G193" s="2"/>
      <c r="H193" s="2"/>
    </row>
    <row r="194">
      <c r="A194" s="2"/>
      <c r="B194" s="2"/>
      <c r="C194" s="3"/>
      <c r="D194" s="3"/>
      <c r="E194" s="2"/>
      <c r="F194" s="2"/>
      <c r="G194" s="2"/>
      <c r="H194" s="2"/>
    </row>
    <row r="195">
      <c r="A195" s="2"/>
      <c r="B195" s="2"/>
      <c r="C195" s="3"/>
      <c r="D195" s="3"/>
      <c r="E195" s="2"/>
      <c r="F195" s="2"/>
      <c r="G195" s="2"/>
      <c r="H195" s="2"/>
    </row>
    <row r="196">
      <c r="A196" s="2"/>
      <c r="B196" s="2"/>
      <c r="C196" s="3"/>
      <c r="D196" s="3"/>
      <c r="E196" s="2"/>
      <c r="F196" s="2"/>
      <c r="G196" s="2"/>
      <c r="H196" s="2"/>
    </row>
    <row r="197">
      <c r="A197" s="2"/>
      <c r="B197" s="2"/>
      <c r="C197" s="3"/>
      <c r="D197" s="3"/>
      <c r="E197" s="2"/>
      <c r="F197" s="2"/>
      <c r="G197" s="2"/>
      <c r="H197" s="2"/>
    </row>
    <row r="198">
      <c r="A198" s="2"/>
      <c r="B198" s="2"/>
      <c r="C198" s="3"/>
      <c r="D198" s="3"/>
      <c r="E198" s="2"/>
      <c r="F198" s="2"/>
      <c r="G198" s="2"/>
      <c r="H198" s="2"/>
    </row>
    <row r="199">
      <c r="A199" s="2"/>
      <c r="B199" s="2"/>
      <c r="C199" s="3"/>
      <c r="D199" s="3"/>
      <c r="E199" s="2"/>
      <c r="F199" s="2"/>
      <c r="G199" s="2"/>
      <c r="H199" s="2"/>
    </row>
  </sheetData>
  <dataValidations count="4">
    <dataValidation allowBlank="true" errorStyle="stop" showErrorMessage="true" sqref="F2:F199" type="list">
      <formula1>"Việt Nam,Quốc Tế"</formula1>
    </dataValidation>
    <dataValidation allowBlank="true" errorStyle="stop" showErrorMessage="true" sqref="B2:B199" type="list">
      <formula1>"Hồng Nhung,Kim Huệ,Phương Linh"</formula1>
    </dataValidation>
    <dataValidation allowBlank="true" errorStyle="stop" showErrorMessage="true" sqref="E2:E199" type="list">
      <formula1>"Mới,Đang liên hệ,Đang nuôi dưỡng,Qualified,Unqualified"</formula1>
    </dataValidation>
    <dataValidation allowBlank="true" errorStyle="stop" showErrorMessage="true" sqref="G2:G199" type="list">
      <formula1>"Unreachable,Rejected,Bad Fit,Timing"</formula1>
    </dataValidation>
  </dataValidations>
  <legacy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6"/>
    <col collapsed="false" customWidth="true" hidden="false" max="3" min="3" style="0" width="5"/>
    <col collapsed="false" customWidth="true" hidden="false" max="4" min="4" style="0" width="13"/>
    <col collapsed="false" customWidth="true" hidden="false" max="5" min="5" style="0" width="19"/>
    <col collapsed="false" customWidth="true" hidden="false" max="6" min="6" style="0" width="18"/>
    <col collapsed="false" customWidth="true" hidden="false" max="7" min="7" style="0" width="6"/>
    <col collapsed="false" customWidth="true" hidden="false" max="8" min="8" style="0" width="5"/>
    <col collapsed="false" customWidth="true" hidden="false" max="9" min="9" style="0" width="13"/>
    <col collapsed="false" customWidth="true" hidden="false" max="10" min="10" style="0" width="19"/>
    <col collapsed="false" customWidth="true" hidden="false" max="11" min="11" style="0" width="18"/>
    <col collapsed="false" customWidth="true" hidden="false" max="12" min="12" style="0" width="6"/>
    <col collapsed="false" customWidth="true" hidden="false" max="13" min="13" style="0" width="5"/>
    <col collapsed="false" customWidth="true" hidden="false" max="14" min="14" style="0" width="13"/>
    <col collapsed="false" customWidth="true" hidden="false" max="15" min="15" style="0" width="19"/>
    <col collapsed="false" customWidth="true" hidden="false" max="16" min="16" style="0" width="18"/>
  </cols>
  <sheetData>
    <row customHeight="true" ht="19" r="1">
      <c r="A1" s="36" t="str">
        <v>Ngày</v>
      </c>
      <c r="B1" s="33" t="str">
        <v>AE Hồng Nhung</v>
      </c>
      <c r="C1" s="33"/>
      <c r="D1" s="33"/>
      <c r="E1" s="33"/>
      <c r="F1" s="33"/>
      <c r="G1" s="34" t="str">
        <v>AE Kim Huệ</v>
      </c>
      <c r="H1" s="34"/>
      <c r="I1" s="34"/>
      <c r="J1" s="34"/>
      <c r="K1" s="34"/>
      <c r="L1" s="35" t="str">
        <v>AE Phương Linh</v>
      </c>
      <c r="M1" s="35"/>
      <c r="N1" s="35"/>
      <c r="O1" s="35"/>
      <c r="P1" s="35"/>
    </row>
    <row customHeight="true" ht="19" r="2">
      <c r="A2" s="36"/>
      <c r="B2" s="42" t="str">
        <v>Thêm</v>
      </c>
      <c r="C2" s="42" t="str">
        <v>Xử lý</v>
      </c>
      <c r="D2" s="42" t="str">
        <v>Tồn cuối ngày</v>
      </c>
      <c r="E2" s="42" t="str">
        <v>Tỷ lệ xử lý trong ngày</v>
      </c>
      <c r="F2" s="45" t="str">
        <v>Tỷ lệ xử lý trên tổng</v>
      </c>
      <c r="G2" s="43" t="str">
        <v>Thêm</v>
      </c>
      <c r="H2" s="43" t="str">
        <v>Xử lý</v>
      </c>
      <c r="I2" s="43" t="str">
        <v>Tồn cuối ngày</v>
      </c>
      <c r="J2" s="43" t="str">
        <v>Tỷ lệ xử lý trong ngày</v>
      </c>
      <c r="K2" s="40" t="str">
        <v>Tỷ lệ xử lý trên tổng</v>
      </c>
      <c r="L2" s="41" t="str">
        <v>Thêm</v>
      </c>
      <c r="M2" s="41" t="str">
        <v>Xử lý</v>
      </c>
      <c r="N2" s="41" t="str">
        <v>Tồn cuối ngày</v>
      </c>
      <c r="O2" s="41" t="str">
        <v>Tỷ lệ xử lý trong ngày</v>
      </c>
      <c r="P2" s="44" t="str">
        <v>Tỷ lệ xử lý trên tổng</v>
      </c>
    </row>
    <row customHeight="true" ht="19" r="3">
      <c r="A3" s="23">
        <v>46131</v>
      </c>
      <c r="B3" s="27"/>
      <c r="C3" s="27"/>
      <c r="D3" s="27">
        <v>0</v>
      </c>
      <c r="E3" s="27"/>
      <c r="F3" s="39"/>
      <c r="G3" s="25"/>
      <c r="H3" s="25"/>
      <c r="I3" s="25">
        <v>0</v>
      </c>
      <c r="J3" s="25"/>
      <c r="K3" s="37"/>
      <c r="L3" s="26"/>
      <c r="M3" s="26"/>
      <c r="N3" s="26">
        <v>0</v>
      </c>
      <c r="O3" s="26"/>
      <c r="P3" s="38"/>
    </row>
    <row r="4">
      <c r="A4" s="23">
        <v>46132</v>
      </c>
      <c r="B4" s="27">
        <f>COUNTIFS('Lead Logs'!B:B,"Hồng Nhung",'Lead Logs'!C:C,A4)</f>
      </c>
      <c r="C4" s="27">
        <f>COUNTIFS('Lead Logs'!B:B,"Hồng Nhung",'Lead Logs'!D:D,A4,'Lead Logs'!E:E,"Qualified")+COUNTIFS('Lead Logs'!B:B,"Hồng Nhung",'Lead Logs'!D:D,A4,'Lead Logs'!E:E,"Unqualified")</f>
      </c>
      <c r="D4" s="27">
        <f>D3+B4-C4</f>
      </c>
      <c r="E4" s="24">
        <f>IFERROR(C4/B4,"-")</f>
      </c>
      <c r="F4" s="28">
        <f>IFERROR(C4/(B4+D3),"-")</f>
      </c>
      <c r="G4" s="25">
        <f>COUNTIFS(#REF!,"Kim Huệ",#REF!,A4)</f>
      </c>
      <c r="H4" s="25">
        <f>COUNTIFS(#REF!,"Kim Huệ",#REF!,A4,#REF!,"Qualified")+COUNTIFS(#REF!,"Kim Huệ",#REF!,A4,#REF!,"Unqualified")</f>
      </c>
      <c r="I4" s="25">
        <f>I3+G4-H4</f>
      </c>
      <c r="J4" s="29">
        <f>IFERROR(H4/G4,"-")</f>
      </c>
      <c r="K4" s="30">
        <f>IFERROR(H4/(G4+I3),"-")</f>
      </c>
      <c r="L4" s="26">
        <f>COUNTIFS(#REF!,"Phương Linh",#REF!,A4)</f>
      </c>
      <c r="M4" s="26">
        <f>COUNTIFS(#REF!,"Phương Linh",#REF!,A4,#REF!,"Qualified")+COUNTIFS(#REF!,"Phương Linh",#REF!,A4,#REF!,"Unqualified")</f>
      </c>
      <c r="N4" s="26">
        <f>N3+L4-M4</f>
      </c>
      <c r="O4" s="31">
        <f>IFERROR(M4/L4,"-")</f>
      </c>
      <c r="P4" s="32">
        <f>IFERROR(M4/(L4+N3),"-")</f>
      </c>
    </row>
    <row r="5">
      <c r="A5" s="23">
        <v>46133</v>
      </c>
      <c r="B5" s="27">
        <f>COUNTIFS('Lead Logs'!B:B,"Hồng Nhung",'Lead Logs'!C:C,A5)</f>
      </c>
      <c r="C5" s="27">
        <f>COUNTIFS('Lead Logs'!B:B,"Hồng Nhung",'Lead Logs'!D:D,A5,'Lead Logs'!E:E,"Qualified")+COUNTIFS('Lead Logs'!B:B,"Hồng Nhung",'Lead Logs'!D:D,A5,'Lead Logs'!E:E,"Unqualified")</f>
      </c>
      <c r="D5" s="27">
        <f>D4+B5-C5</f>
      </c>
      <c r="E5" s="24">
        <f>IFERROR(C5/B5,"-")</f>
      </c>
      <c r="F5" s="28">
        <f>IFERROR(C5/(B5+D4),"-")</f>
      </c>
      <c r="G5" s="25">
        <f>COUNTIFS(#REF!,"Kim Huệ",#REF!,A5)</f>
      </c>
      <c r="H5" s="25">
        <f>COUNTIFS(#REF!,"Kim Huệ",#REF!,A5,#REF!,"Qualified")+COUNTIFS(#REF!,"Kim Huệ",#REF!,A5,#REF!,"Unqualified")</f>
      </c>
      <c r="I5" s="25">
        <f>I4+G5-H5</f>
      </c>
      <c r="J5" s="29">
        <f>IFERROR(H5/G5,"-")</f>
      </c>
      <c r="K5" s="30">
        <f>IFERROR(H5/(G5+I4),"-")</f>
      </c>
      <c r="L5" s="26">
        <f>COUNTIFS(#REF!,"Phương Linh",#REF!,A5)</f>
      </c>
      <c r="M5" s="26">
        <f>COUNTIFS(#REF!,"Phương Linh",#REF!,A5,#REF!,"Qualified")+COUNTIFS(#REF!,"Phương Linh",#REF!,A5,#REF!,"Unqualified")</f>
      </c>
      <c r="N5" s="26">
        <f>N4+L5-M5</f>
      </c>
      <c r="O5" s="31">
        <f>IFERROR(M5/L5,"-")</f>
      </c>
      <c r="P5" s="32">
        <f>IFERROR(M5/(L5+N4),"-")</f>
      </c>
    </row>
    <row r="6">
      <c r="A6" s="23">
        <v>46134</v>
      </c>
      <c r="B6" s="27">
        <f>COUNTIFS('Lead Logs'!B:B,"Hồng Nhung",'Lead Logs'!C:C,A6)</f>
      </c>
      <c r="C6" s="27">
        <f>COUNTIFS('Lead Logs'!B:B,"Hồng Nhung",'Lead Logs'!D:D,A6,'Lead Logs'!E:E,"Qualified")+COUNTIFS('Lead Logs'!B:B,"Hồng Nhung",'Lead Logs'!D:D,A6,'Lead Logs'!E:E,"Unqualified")</f>
      </c>
      <c r="D6" s="27">
        <f>D5+B6-C6</f>
      </c>
      <c r="E6" s="24">
        <f>IFERROR(C6/B6,"-")</f>
      </c>
      <c r="F6" s="28">
        <f>IFERROR(C6/(B6+D5),"-")</f>
      </c>
      <c r="G6" s="25">
        <f>COUNTIFS(#REF!,"Kim Huệ",#REF!,A6)</f>
      </c>
      <c r="H6" s="25">
        <f>COUNTIFS(#REF!,"Kim Huệ",#REF!,A6,#REF!,"Qualified")+COUNTIFS(#REF!,"Kim Huệ",#REF!,A6,#REF!,"Unqualified")</f>
      </c>
      <c r="I6" s="25">
        <f>I5+G6-H6</f>
      </c>
      <c r="J6" s="29">
        <f>IFERROR(H6/G6,"-")</f>
      </c>
      <c r="K6" s="30">
        <f>IFERROR(H6/(G6+I5),"-")</f>
      </c>
      <c r="L6" s="26">
        <f>COUNTIFS(#REF!,"Phương Linh",#REF!,A6)</f>
      </c>
      <c r="M6" s="26">
        <f>COUNTIFS(#REF!,"Phương Linh",#REF!,A6,#REF!,"Qualified")+COUNTIFS(#REF!,"Phương Linh",#REF!,A6,#REF!,"Unqualified")</f>
      </c>
      <c r="N6" s="26">
        <f>N5+L6-M6</f>
      </c>
      <c r="O6" s="31">
        <f>IFERROR(M6/L6,"-")</f>
      </c>
      <c r="P6" s="32">
        <f>IFERROR(M6/(L6+N5),"-")</f>
      </c>
    </row>
    <row r="7">
      <c r="A7" s="23">
        <v>46135</v>
      </c>
      <c r="B7" s="27">
        <f>COUNTIFS('Lead Logs'!B:B,"Hồng Nhung",'Lead Logs'!C:C,A7)</f>
      </c>
      <c r="C7" s="27">
        <f>COUNTIFS('Lead Logs'!B:B,"Hồng Nhung",'Lead Logs'!D:D,A7,'Lead Logs'!E:E,"Qualified")+COUNTIFS('Lead Logs'!B:B,"Hồng Nhung",'Lead Logs'!D:D,A7,'Lead Logs'!E:E,"Unqualified")</f>
      </c>
      <c r="D7" s="27">
        <f>D6+B7-C7</f>
      </c>
      <c r="E7" s="24">
        <f>IFERROR(C7/B7,"-")</f>
      </c>
      <c r="F7" s="28">
        <f>IFERROR(C7/(B7+D6),"-")</f>
      </c>
      <c r="G7" s="25">
        <f>COUNTIFS(#REF!,"Kim Huệ",#REF!,A7)</f>
      </c>
      <c r="H7" s="25">
        <f>COUNTIFS(#REF!,"Kim Huệ",#REF!,A7,#REF!,"Qualified")+COUNTIFS(#REF!,"Kim Huệ",#REF!,A7,#REF!,"Unqualified")</f>
      </c>
      <c r="I7" s="25">
        <f>I6+G7-H7</f>
      </c>
      <c r="J7" s="29">
        <f>IFERROR(H7/G7,"-")</f>
      </c>
      <c r="K7" s="30">
        <f>IFERROR(H7/(G7+I6),"-")</f>
      </c>
      <c r="L7" s="26">
        <f>COUNTIFS(#REF!,"Phương Linh",#REF!,A7)</f>
      </c>
      <c r="M7" s="26">
        <f>COUNTIFS(#REF!,"Phương Linh",#REF!,A7,#REF!,"Qualified")+COUNTIFS(#REF!,"Phương Linh",#REF!,A7,#REF!,"Unqualified")</f>
      </c>
      <c r="N7" s="26">
        <f>N6+L7-M7</f>
      </c>
      <c r="O7" s="31">
        <f>IFERROR(M7/L7,"-")</f>
      </c>
      <c r="P7" s="32">
        <f>IFERROR(M7/(L7+N6),"-")</f>
      </c>
    </row>
    <row r="8">
      <c r="A8" s="23">
        <v>46136</v>
      </c>
      <c r="B8" s="27">
        <f>COUNTIFS('Lead Logs'!B:B,"Hồng Nhung",'Lead Logs'!C:C,A8)</f>
      </c>
      <c r="C8" s="27">
        <f>COUNTIFS('Lead Logs'!B:B,"Hồng Nhung",'Lead Logs'!D:D,A8,'Lead Logs'!E:E,"Qualified")+COUNTIFS('Lead Logs'!B:B,"Hồng Nhung",'Lead Logs'!D:D,A8,'Lead Logs'!E:E,"Unqualified")</f>
      </c>
      <c r="D8" s="27">
        <f>D7+B8-C8</f>
      </c>
      <c r="E8" s="24">
        <f>IFERROR(C8/B8,"-")</f>
      </c>
      <c r="F8" s="28">
        <f>IFERROR(C8/(B8+D7),"-")</f>
      </c>
      <c r="G8" s="25">
        <f>COUNTIFS(#REF!,"Kim Huệ",#REF!,A8)</f>
      </c>
      <c r="H8" s="25">
        <f>COUNTIFS(#REF!,"Kim Huệ",#REF!,A8,#REF!,"Qualified")+COUNTIFS(#REF!,"Kim Huệ",#REF!,A8,#REF!,"Unqualified")</f>
      </c>
      <c r="I8" s="25">
        <f>I7+G8-H8</f>
      </c>
      <c r="J8" s="29">
        <f>IFERROR(H8/G8,"-")</f>
      </c>
      <c r="K8" s="30">
        <f>IFERROR(H8/(G8+I7),"-")</f>
      </c>
      <c r="L8" s="26">
        <f>COUNTIFS(#REF!,"Phương Linh",#REF!,A8)</f>
      </c>
      <c r="M8" s="26">
        <f>COUNTIFS(#REF!,"Phương Linh",#REF!,A8,#REF!,"Qualified")+COUNTIFS(#REF!,"Phương Linh",#REF!,A8,#REF!,"Unqualified")</f>
      </c>
      <c r="N8" s="26">
        <f>N7+L8-M8</f>
      </c>
      <c r="O8" s="31">
        <f>IFERROR(M8/L8,"-")</f>
      </c>
      <c r="P8" s="32">
        <f>IFERROR(M8/(L8+N7),"-")</f>
      </c>
    </row>
    <row r="9">
      <c r="A9" s="23">
        <v>46137</v>
      </c>
      <c r="B9" s="27">
        <f>COUNTIFS('Lead Logs'!B:B,"Hồng Nhung",'Lead Logs'!C:C,A9)</f>
      </c>
      <c r="C9" s="27">
        <f>COUNTIFS('Lead Logs'!B:B,"Hồng Nhung",'Lead Logs'!D:D,A9,'Lead Logs'!E:E,"Qualified")+COUNTIFS('Lead Logs'!B:B,"Hồng Nhung",'Lead Logs'!D:D,A9,'Lead Logs'!E:E,"Unqualified")</f>
      </c>
      <c r="D9" s="27">
        <f>D8+B9-C9</f>
      </c>
      <c r="E9" s="24">
        <f>IFERROR(C9/B9,"-")</f>
      </c>
      <c r="F9" s="28">
        <f>IFERROR(C9/(B9+D8),"-")</f>
      </c>
      <c r="G9" s="25">
        <f>COUNTIFS(#REF!,"Kim Huệ",#REF!,A9)</f>
      </c>
      <c r="H9" s="25">
        <f>COUNTIFS(#REF!,"Kim Huệ",#REF!,A9,#REF!,"Qualified")+COUNTIFS(#REF!,"Kim Huệ",#REF!,A9,#REF!,"Unqualified")</f>
      </c>
      <c r="I9" s="25">
        <f>I8+G9-H9</f>
      </c>
      <c r="J9" s="29">
        <f>IFERROR(H9/G9,"-")</f>
      </c>
      <c r="K9" s="30">
        <f>IFERROR(H9/(G9+I8),"-")</f>
      </c>
      <c r="L9" s="26">
        <f>COUNTIFS(#REF!,"Phương Linh",#REF!,A9)</f>
      </c>
      <c r="M9" s="26">
        <f>COUNTIFS(#REF!,"Phương Linh",#REF!,A9,#REF!,"Qualified")+COUNTIFS(#REF!,"Phương Linh",#REF!,A9,#REF!,"Unqualified")</f>
      </c>
      <c r="N9" s="26">
        <f>N8+L9-M9</f>
      </c>
      <c r="O9" s="31">
        <f>IFERROR(M9/L9,"-")</f>
      </c>
      <c r="P9" s="32">
        <f>IFERROR(M9/(L9+N8),"-")</f>
      </c>
    </row>
    <row r="10">
      <c r="A10" s="23">
        <v>46138</v>
      </c>
      <c r="B10" s="27">
        <f>COUNTIFS('Lead Logs'!B:B,"Hồng Nhung",'Lead Logs'!C:C,A10)</f>
      </c>
      <c r="C10" s="27">
        <f>COUNTIFS('Lead Logs'!B:B,"Hồng Nhung",'Lead Logs'!D:D,A10,'Lead Logs'!E:E,"Qualified")+COUNTIFS('Lead Logs'!B:B,"Hồng Nhung",'Lead Logs'!D:D,A10,'Lead Logs'!E:E,"Unqualified")</f>
      </c>
      <c r="D10" s="27">
        <f>D9+B10-C10</f>
      </c>
      <c r="E10" s="24">
        <f>IFERROR(C10/B10,"-")</f>
      </c>
      <c r="F10" s="28">
        <f>IFERROR(C10/(B10+D9),"-")</f>
      </c>
      <c r="G10" s="25">
        <f>COUNTIFS(#REF!,"Kim Huệ",#REF!,A10)</f>
      </c>
      <c r="H10" s="25">
        <f>COUNTIFS(#REF!,"Kim Huệ",#REF!,A10,#REF!,"Qualified")+COUNTIFS(#REF!,"Kim Huệ",#REF!,A10,#REF!,"Unqualified")</f>
      </c>
      <c r="I10" s="25">
        <f>I9+G10-H10</f>
      </c>
      <c r="J10" s="29">
        <f>IFERROR(H10/G10,"-")</f>
      </c>
      <c r="K10" s="30">
        <f>IFERROR(H10/(G10+I9),"-")</f>
      </c>
      <c r="L10" s="26">
        <f>COUNTIFS(#REF!,"Phương Linh",#REF!,A10)</f>
      </c>
      <c r="M10" s="26">
        <f>COUNTIFS(#REF!,"Phương Linh",#REF!,A10,#REF!,"Qualified")+COUNTIFS(#REF!,"Phương Linh",#REF!,A10,#REF!,"Unqualified")</f>
      </c>
      <c r="N10" s="26">
        <f>N9+L10-M10</f>
      </c>
      <c r="O10" s="31">
        <f>IFERROR(M10/L10,"-")</f>
      </c>
      <c r="P10" s="32">
        <f>IFERROR(M10/(L10+N9),"-")</f>
      </c>
    </row>
    <row r="11">
      <c r="A11" s="23">
        <v>46139</v>
      </c>
      <c r="B11" s="27">
        <f>COUNTIFS('Lead Logs'!B:B,"Hồng Nhung",'Lead Logs'!C:C,A11)</f>
      </c>
      <c r="C11" s="27">
        <f>COUNTIFS('Lead Logs'!B:B,"Hồng Nhung",'Lead Logs'!D:D,A11,'Lead Logs'!E:E,"Qualified")+COUNTIFS('Lead Logs'!B:B,"Hồng Nhung",'Lead Logs'!D:D,A11,'Lead Logs'!E:E,"Unqualified")</f>
      </c>
      <c r="D11" s="27">
        <f>D10+B11-C11</f>
      </c>
      <c r="E11" s="24">
        <f>IFERROR(C11/B11,"-")</f>
      </c>
      <c r="F11" s="28">
        <f>IFERROR(C11/(B11+D10),"-")</f>
      </c>
      <c r="G11" s="25">
        <f>COUNTIFS(#REF!,"Kim Huệ",#REF!,A11)</f>
      </c>
      <c r="H11" s="25">
        <f>COUNTIFS(#REF!,"Kim Huệ",#REF!,A11,#REF!,"Qualified")+COUNTIFS(#REF!,"Kim Huệ",#REF!,A11,#REF!,"Unqualified")</f>
      </c>
      <c r="I11" s="25">
        <f>I10+G11-H11</f>
      </c>
      <c r="J11" s="29">
        <f>IFERROR(H11/G11,"-")</f>
      </c>
      <c r="K11" s="30">
        <f>IFERROR(H11/(G11+I10),"-")</f>
      </c>
      <c r="L11" s="26">
        <f>COUNTIFS(#REF!,"Phương Linh",#REF!,A11)</f>
      </c>
      <c r="M11" s="26">
        <f>COUNTIFS(#REF!,"Phương Linh",#REF!,A11,#REF!,"Qualified")+COUNTIFS(#REF!,"Phương Linh",#REF!,A11,#REF!,"Unqualified")</f>
      </c>
      <c r="N11" s="26">
        <f>N10+L11-M11</f>
      </c>
      <c r="O11" s="31">
        <f>IFERROR(M11/L11,"-")</f>
      </c>
      <c r="P11" s="32">
        <f>IFERROR(M11/(L11+N10),"-")</f>
      </c>
    </row>
    <row r="12">
      <c r="A12" s="23">
        <v>46140</v>
      </c>
      <c r="B12" s="27">
        <f>COUNTIFS('Lead Logs'!B:B,"Hồng Nhung",'Lead Logs'!C:C,A12)</f>
      </c>
      <c r="C12" s="27">
        <f>COUNTIFS('Lead Logs'!B:B,"Hồng Nhung",'Lead Logs'!D:D,A12,'Lead Logs'!E:E,"Qualified")+COUNTIFS('Lead Logs'!B:B,"Hồng Nhung",'Lead Logs'!D:D,A12,'Lead Logs'!E:E,"Unqualified")</f>
      </c>
      <c r="D12" s="27">
        <f>D11+B12-C12</f>
      </c>
      <c r="E12" s="24">
        <f>IFERROR(C12/B12,"-")</f>
      </c>
      <c r="F12" s="28">
        <f>IFERROR(C12/(B12+D11),"-")</f>
      </c>
      <c r="G12" s="25">
        <f>COUNTIFS(#REF!,"Kim Huệ",#REF!,A12)</f>
      </c>
      <c r="H12" s="25">
        <f>COUNTIFS(#REF!,"Kim Huệ",#REF!,A12,#REF!,"Qualified")+COUNTIFS(#REF!,"Kim Huệ",#REF!,A12,#REF!,"Unqualified")</f>
      </c>
      <c r="I12" s="25">
        <f>I11+G12-H12</f>
      </c>
      <c r="J12" s="29">
        <f>IFERROR(H12/G12,"-")</f>
      </c>
      <c r="K12" s="30">
        <f>IFERROR(H12/(G12+I11),"-")</f>
      </c>
      <c r="L12" s="26">
        <f>COUNTIFS(#REF!,"Phương Linh",#REF!,A12)</f>
      </c>
      <c r="M12" s="26">
        <f>COUNTIFS(#REF!,"Phương Linh",#REF!,A12,#REF!,"Qualified")+COUNTIFS(#REF!,"Phương Linh",#REF!,A12,#REF!,"Unqualified")</f>
      </c>
      <c r="N12" s="26">
        <f>N11+L12-M12</f>
      </c>
      <c r="O12" s="31">
        <f>IFERROR(M12/L12,"-")</f>
      </c>
      <c r="P12" s="32">
        <f>IFERROR(M12/(L12+N11),"-")</f>
      </c>
    </row>
    <row r="13">
      <c r="A13" s="23">
        <v>46141</v>
      </c>
      <c r="B13" s="27">
        <f>COUNTIFS('Lead Logs'!B:B,"Hồng Nhung",'Lead Logs'!C:C,A13)</f>
      </c>
      <c r="C13" s="27">
        <f>COUNTIFS('Lead Logs'!B:B,"Hồng Nhung",'Lead Logs'!D:D,A13,'Lead Logs'!E:E,"Qualified")+COUNTIFS('Lead Logs'!B:B,"Hồng Nhung",'Lead Logs'!D:D,A13,'Lead Logs'!E:E,"Unqualified")</f>
      </c>
      <c r="D13" s="27">
        <f>D12+B13-C13</f>
      </c>
      <c r="E13" s="24">
        <f>IFERROR(C13/B13,"-")</f>
      </c>
      <c r="F13" s="28">
        <f>IFERROR(C13/(B13+D12),"-")</f>
      </c>
      <c r="G13" s="25">
        <f>COUNTIFS(#REF!,"Kim Huệ",#REF!,A13)</f>
      </c>
      <c r="H13" s="25">
        <f>COUNTIFS(#REF!,"Kim Huệ",#REF!,A13,#REF!,"Qualified")+COUNTIFS(#REF!,"Kim Huệ",#REF!,A13,#REF!,"Unqualified")</f>
      </c>
      <c r="I13" s="25">
        <f>I12+G13-H13</f>
      </c>
      <c r="J13" s="29">
        <f>IFERROR(H13/G13,"-")</f>
      </c>
      <c r="K13" s="30">
        <f>IFERROR(H13/(G13+I12),"-")</f>
      </c>
      <c r="L13" s="26">
        <f>COUNTIFS(#REF!,"Phương Linh",#REF!,A13)</f>
      </c>
      <c r="M13" s="26">
        <f>COUNTIFS(#REF!,"Phương Linh",#REF!,A13,#REF!,"Qualified")+COUNTIFS(#REF!,"Phương Linh",#REF!,A13,#REF!,"Unqualified")</f>
      </c>
      <c r="N13" s="26">
        <f>N12+L13-M13</f>
      </c>
      <c r="O13" s="31">
        <f>IFERROR(M13/L13,"-")</f>
      </c>
      <c r="P13" s="32">
        <f>IFERROR(M13/(L13+N12),"-")</f>
      </c>
    </row>
    <row r="14">
      <c r="A14" s="23">
        <v>46142</v>
      </c>
      <c r="B14" s="27">
        <f>COUNTIFS('Lead Logs'!B:B,"Hồng Nhung",'Lead Logs'!C:C,A14)</f>
      </c>
      <c r="C14" s="27">
        <f>COUNTIFS('Lead Logs'!B:B,"Hồng Nhung",'Lead Logs'!D:D,A14,'Lead Logs'!E:E,"Qualified")+COUNTIFS('Lead Logs'!B:B,"Hồng Nhung",'Lead Logs'!D:D,A14,'Lead Logs'!E:E,"Unqualified")</f>
      </c>
      <c r="D14" s="27">
        <f>D13+B14-C14</f>
      </c>
      <c r="E14" s="24">
        <f>IFERROR(C14/B14,"-")</f>
      </c>
      <c r="F14" s="28">
        <f>IFERROR(C14/(B14+D13),"-")</f>
      </c>
      <c r="G14" s="25">
        <f>COUNTIFS(#REF!,"Kim Huệ",#REF!,A14)</f>
      </c>
      <c r="H14" s="25">
        <f>COUNTIFS(#REF!,"Kim Huệ",#REF!,A14,#REF!,"Qualified")+COUNTIFS(#REF!,"Kim Huệ",#REF!,A14,#REF!,"Unqualified")</f>
      </c>
      <c r="I14" s="25">
        <f>I13+G14-H14</f>
      </c>
      <c r="J14" s="29">
        <f>IFERROR(H14/G14,"-")</f>
      </c>
      <c r="K14" s="30">
        <f>IFERROR(H14/(G14+I13),"-")</f>
      </c>
      <c r="L14" s="26">
        <f>COUNTIFS(#REF!,"Phương Linh",#REF!,A14)</f>
      </c>
      <c r="M14" s="26">
        <f>COUNTIFS(#REF!,"Phương Linh",#REF!,A14,#REF!,"Qualified")+COUNTIFS(#REF!,"Phương Linh",#REF!,A14,#REF!,"Unqualified")</f>
      </c>
      <c r="N14" s="26">
        <f>N13+L14-M14</f>
      </c>
      <c r="O14" s="31">
        <f>IFERROR(M14/L14,"-")</f>
      </c>
      <c r="P14" s="32">
        <f>IFERROR(M14/(L14+N13),"-")</f>
      </c>
    </row>
    <row r="15">
      <c r="A15" s="23">
        <v>46143</v>
      </c>
      <c r="B15" s="27">
        <f>COUNTIFS('Lead Logs'!B:B,"Hồng Nhung",'Lead Logs'!C:C,A15)</f>
      </c>
      <c r="C15" s="27">
        <f>COUNTIFS('Lead Logs'!B:B,"Hồng Nhung",'Lead Logs'!D:D,A15,'Lead Logs'!E:E,"Qualified")+COUNTIFS('Lead Logs'!B:B,"Hồng Nhung",'Lead Logs'!D:D,A15,'Lead Logs'!E:E,"Unqualified")</f>
      </c>
      <c r="D15" s="27">
        <f>D14+B15-C15</f>
      </c>
      <c r="E15" s="24">
        <f>IFERROR(C15/B15,"-")</f>
      </c>
      <c r="F15" s="28">
        <f>IFERROR(C15/(B15+D14),"-")</f>
      </c>
      <c r="G15" s="25">
        <f>COUNTIFS(#REF!,"Kim Huệ",#REF!,A15)</f>
      </c>
      <c r="H15" s="25">
        <f>COUNTIFS(#REF!,"Kim Huệ",#REF!,A15,#REF!,"Qualified")+COUNTIFS(#REF!,"Kim Huệ",#REF!,A15,#REF!,"Unqualified")</f>
      </c>
      <c r="I15" s="25">
        <f>I14+G15-H15</f>
      </c>
      <c r="J15" s="29">
        <f>IFERROR(H15/G15,"-")</f>
      </c>
      <c r="K15" s="30">
        <f>IFERROR(H15/(G15+I14),"-")</f>
      </c>
      <c r="L15" s="26">
        <f>COUNTIFS(#REF!,"Phương Linh",#REF!,A15)</f>
      </c>
      <c r="M15" s="26">
        <f>COUNTIFS(#REF!,"Phương Linh",#REF!,A15,#REF!,"Qualified")+COUNTIFS(#REF!,"Phương Linh",#REF!,A15,#REF!,"Unqualified")</f>
      </c>
      <c r="N15" s="26">
        <f>N14+L15-M15</f>
      </c>
      <c r="O15" s="31">
        <f>IFERROR(M15/L15,"-")</f>
      </c>
      <c r="P15" s="32">
        <f>IFERROR(M15/(L15+N14),"-")</f>
      </c>
    </row>
    <row r="16">
      <c r="A16" s="23">
        <v>46144</v>
      </c>
      <c r="B16" s="27">
        <f>COUNTIFS('Lead Logs'!B:B,"Hồng Nhung",'Lead Logs'!C:C,A16)</f>
      </c>
      <c r="C16" s="27">
        <f>COUNTIFS('Lead Logs'!B:B,"Hồng Nhung",'Lead Logs'!D:D,A16,'Lead Logs'!E:E,"Qualified")+COUNTIFS('Lead Logs'!B:B,"Hồng Nhung",'Lead Logs'!D:D,A16,'Lead Logs'!E:E,"Unqualified")</f>
      </c>
      <c r="D16" s="27">
        <f>D15+B16-C16</f>
      </c>
      <c r="E16" s="24">
        <f>IFERROR(C16/B16,"-")</f>
      </c>
      <c r="F16" s="28">
        <f>IFERROR(C16/(B16+D15),"-")</f>
      </c>
      <c r="G16" s="25">
        <f>COUNTIFS(#REF!,"Kim Huệ",#REF!,A16)</f>
      </c>
      <c r="H16" s="25">
        <f>COUNTIFS(#REF!,"Kim Huệ",#REF!,A16,#REF!,"Qualified")+COUNTIFS(#REF!,"Kim Huệ",#REF!,A16,#REF!,"Unqualified")</f>
      </c>
      <c r="I16" s="25">
        <f>I15+G16-H16</f>
      </c>
      <c r="J16" s="29">
        <f>IFERROR(H16/G16,"-")</f>
      </c>
      <c r="K16" s="30">
        <f>IFERROR(H16/(G16+I15),"-")</f>
      </c>
      <c r="L16" s="26">
        <f>COUNTIFS(#REF!,"Phương Linh",#REF!,A16)</f>
      </c>
      <c r="M16" s="26">
        <f>COUNTIFS(#REF!,"Phương Linh",#REF!,A16,#REF!,"Qualified")+COUNTIFS(#REF!,"Phương Linh",#REF!,A16,#REF!,"Unqualified")</f>
      </c>
      <c r="N16" s="26">
        <f>N15+L16-M16</f>
      </c>
      <c r="O16" s="31">
        <f>IFERROR(M16/L16,"-")</f>
      </c>
      <c r="P16" s="32">
        <f>IFERROR(M16/(L16+N15),"-")</f>
      </c>
    </row>
    <row r="17">
      <c r="A17" s="23">
        <v>46145</v>
      </c>
      <c r="B17" s="27">
        <f>COUNTIFS('Lead Logs'!B:B,"Hồng Nhung",'Lead Logs'!C:C,A17)</f>
      </c>
      <c r="C17" s="27">
        <f>COUNTIFS('Lead Logs'!B:B,"Hồng Nhung",'Lead Logs'!D:D,A17,'Lead Logs'!E:E,"Qualified")+COUNTIFS('Lead Logs'!B:B,"Hồng Nhung",'Lead Logs'!D:D,A17,'Lead Logs'!E:E,"Unqualified")</f>
      </c>
      <c r="D17" s="27">
        <f>D16+B17-C17</f>
      </c>
      <c r="E17" s="24">
        <f>IFERROR(C17/B17,"-")</f>
      </c>
      <c r="F17" s="28">
        <f>IFERROR(C17/(B17+D16),"-")</f>
      </c>
      <c r="G17" s="25">
        <f>COUNTIFS(#REF!,"Kim Huệ",#REF!,A17)</f>
      </c>
      <c r="H17" s="25">
        <f>COUNTIFS(#REF!,"Kim Huệ",#REF!,A17,#REF!,"Qualified")+COUNTIFS(#REF!,"Kim Huệ",#REF!,A17,#REF!,"Unqualified")</f>
      </c>
      <c r="I17" s="25">
        <f>I16+G17-H17</f>
      </c>
      <c r="J17" s="29">
        <f>IFERROR(H17/G17,"-")</f>
      </c>
      <c r="K17" s="30">
        <f>IFERROR(H17/(G17+I16),"-")</f>
      </c>
      <c r="L17" s="26">
        <f>COUNTIFS(#REF!,"Phương Linh",#REF!,A17)</f>
      </c>
      <c r="M17" s="26">
        <f>COUNTIFS(#REF!,"Phương Linh",#REF!,A17,#REF!,"Qualified")+COUNTIFS(#REF!,"Phương Linh",#REF!,A17,#REF!,"Unqualified")</f>
      </c>
      <c r="N17" s="26">
        <f>N16+L17-M17</f>
      </c>
      <c r="O17" s="31">
        <f>IFERROR(M17/L17,"-")</f>
      </c>
      <c r="P17" s="32">
        <f>IFERROR(M17/(L17+N16),"-")</f>
      </c>
    </row>
    <row r="18">
      <c r="A18" s="23">
        <v>46146</v>
      </c>
      <c r="B18" s="27">
        <f>COUNTIFS('Lead Logs'!B:B,"Hồng Nhung",'Lead Logs'!C:C,A18)</f>
      </c>
      <c r="C18" s="27">
        <f>COUNTIFS('Lead Logs'!B:B,"Hồng Nhung",'Lead Logs'!D:D,A18,'Lead Logs'!E:E,"Qualified")+COUNTIFS('Lead Logs'!B:B,"Hồng Nhung",'Lead Logs'!D:D,A18,'Lead Logs'!E:E,"Unqualified")</f>
      </c>
      <c r="D18" s="27">
        <f>D17+B18-C18</f>
      </c>
      <c r="E18" s="24">
        <f>IFERROR(C18/B18,"-")</f>
      </c>
      <c r="F18" s="28">
        <f>IFERROR(C18/(B18+D17),"-")</f>
      </c>
      <c r="G18" s="25">
        <f>COUNTIFS(#REF!,"Kim Huệ",#REF!,A18)</f>
      </c>
      <c r="H18" s="25">
        <f>COUNTIFS(#REF!,"Kim Huệ",#REF!,A18,#REF!,"Qualified")+COUNTIFS(#REF!,"Kim Huệ",#REF!,A18,#REF!,"Unqualified")</f>
      </c>
      <c r="I18" s="25">
        <f>I17+G18-H18</f>
      </c>
      <c r="J18" s="29">
        <f>IFERROR(H18/G18,"-")</f>
      </c>
      <c r="K18" s="30">
        <f>IFERROR(H18/(G18+I17),"-")</f>
      </c>
      <c r="L18" s="26">
        <f>COUNTIFS(#REF!,"Phương Linh",#REF!,A18)</f>
      </c>
      <c r="M18" s="26">
        <f>COUNTIFS(#REF!,"Phương Linh",#REF!,A18,#REF!,"Qualified")+COUNTIFS(#REF!,"Phương Linh",#REF!,A18,#REF!,"Unqualified")</f>
      </c>
      <c r="N18" s="26">
        <f>N17+L18-M18</f>
      </c>
      <c r="O18" s="31">
        <f>IFERROR(M18/L18,"-")</f>
      </c>
      <c r="P18" s="32">
        <f>IFERROR(M18/(L18+N17),"-")</f>
      </c>
    </row>
    <row r="19">
      <c r="A19" s="23">
        <v>46147</v>
      </c>
      <c r="B19" s="27">
        <f>COUNTIFS('Lead Logs'!B:B,"Hồng Nhung",'Lead Logs'!C:C,A19)</f>
      </c>
      <c r="C19" s="27">
        <f>COUNTIFS('Lead Logs'!B:B,"Hồng Nhung",'Lead Logs'!D:D,A19,'Lead Logs'!E:E,"Qualified")+COUNTIFS('Lead Logs'!B:B,"Hồng Nhung",'Lead Logs'!D:D,A19,'Lead Logs'!E:E,"Unqualified")</f>
      </c>
      <c r="D19" s="27">
        <f>D18+B19-C19</f>
      </c>
      <c r="E19" s="24">
        <f>IFERROR(C19/B19,"-")</f>
      </c>
      <c r="F19" s="28">
        <f>IFERROR(C19/(B19+D18),"-")</f>
      </c>
      <c r="G19" s="25">
        <f>COUNTIFS(#REF!,"Kim Huệ",#REF!,A19)</f>
      </c>
      <c r="H19" s="25">
        <f>COUNTIFS(#REF!,"Kim Huệ",#REF!,A19,#REF!,"Qualified")+COUNTIFS(#REF!,"Kim Huệ",#REF!,A19,#REF!,"Unqualified")</f>
      </c>
      <c r="I19" s="25">
        <f>I18+G19-H19</f>
      </c>
      <c r="J19" s="29">
        <f>IFERROR(H19/G19,"-")</f>
      </c>
      <c r="K19" s="30">
        <f>IFERROR(H19/(G19+I18),"-")</f>
      </c>
      <c r="L19" s="26">
        <f>COUNTIFS(#REF!,"Phương Linh",#REF!,A19)</f>
      </c>
      <c r="M19" s="26">
        <f>COUNTIFS(#REF!,"Phương Linh",#REF!,A19,#REF!,"Qualified")+COUNTIFS(#REF!,"Phương Linh",#REF!,A19,#REF!,"Unqualified")</f>
      </c>
      <c r="N19" s="26">
        <f>N18+L19-M19</f>
      </c>
      <c r="O19" s="31">
        <f>IFERROR(M19/L19,"-")</f>
      </c>
      <c r="P19" s="32">
        <f>IFERROR(M19/(L19+N18),"-")</f>
      </c>
    </row>
    <row r="20">
      <c r="A20" s="23">
        <v>46148</v>
      </c>
      <c r="B20" s="27">
        <f>COUNTIFS('Lead Logs'!B:B,"Hồng Nhung",'Lead Logs'!C:C,A20)</f>
      </c>
      <c r="C20" s="27">
        <f>COUNTIFS('Lead Logs'!B:B,"Hồng Nhung",'Lead Logs'!D:D,A20,'Lead Logs'!E:E,"Qualified")+COUNTIFS('Lead Logs'!B:B,"Hồng Nhung",'Lead Logs'!D:D,A20,'Lead Logs'!E:E,"Unqualified")</f>
      </c>
      <c r="D20" s="27">
        <f>D19+B20-C20</f>
      </c>
      <c r="E20" s="24">
        <f>IFERROR(C20/B20,"-")</f>
      </c>
      <c r="F20" s="28">
        <f>IFERROR(C20/(B20+D19),"-")</f>
      </c>
      <c r="G20" s="25">
        <f>COUNTIFS(#REF!,"Kim Huệ",#REF!,A20)</f>
      </c>
      <c r="H20" s="25">
        <f>COUNTIFS(#REF!,"Kim Huệ",#REF!,A20,#REF!,"Qualified")+COUNTIFS(#REF!,"Kim Huệ",#REF!,A20,#REF!,"Unqualified")</f>
      </c>
      <c r="I20" s="25">
        <f>I19+G20-H20</f>
      </c>
      <c r="J20" s="29">
        <f>IFERROR(H20/G20,"-")</f>
      </c>
      <c r="K20" s="30">
        <f>IFERROR(H20/(G20+I19),"-")</f>
      </c>
      <c r="L20" s="26">
        <f>COUNTIFS(#REF!,"Phương Linh",#REF!,A20)</f>
      </c>
      <c r="M20" s="26">
        <f>COUNTIFS(#REF!,"Phương Linh",#REF!,A20,#REF!,"Qualified")+COUNTIFS(#REF!,"Phương Linh",#REF!,A20,#REF!,"Unqualified")</f>
      </c>
      <c r="N20" s="26">
        <f>N19+L20-M20</f>
      </c>
      <c r="O20" s="31">
        <f>IFERROR(M20/L20,"-")</f>
      </c>
      <c r="P20" s="32">
        <f>IFERROR(M20/(L20+N19),"-")</f>
      </c>
    </row>
    <row r="21">
      <c r="A21" s="23">
        <v>46149</v>
      </c>
      <c r="B21" s="27">
        <f>COUNTIFS('Lead Logs'!B:B,"Hồng Nhung",'Lead Logs'!C:C,A21)</f>
      </c>
      <c r="C21" s="27">
        <f>COUNTIFS('Lead Logs'!B:B,"Hồng Nhung",'Lead Logs'!D:D,A21,'Lead Logs'!E:E,"Qualified")+COUNTIFS('Lead Logs'!B:B,"Hồng Nhung",'Lead Logs'!D:D,A21,'Lead Logs'!E:E,"Unqualified")</f>
      </c>
      <c r="D21" s="27">
        <f>D20+B21-C21</f>
      </c>
      <c r="E21" s="24">
        <f>IFERROR(C21/B21,"-")</f>
      </c>
      <c r="F21" s="28">
        <f>IFERROR(C21/(B21+D20),"-")</f>
      </c>
      <c r="G21" s="25">
        <f>COUNTIFS(#REF!,"Kim Huệ",#REF!,A21)</f>
      </c>
      <c r="H21" s="25">
        <f>COUNTIFS(#REF!,"Kim Huệ",#REF!,A21,#REF!,"Qualified")+COUNTIFS(#REF!,"Kim Huệ",#REF!,A21,#REF!,"Unqualified")</f>
      </c>
      <c r="I21" s="25">
        <f>I20+G21-H21</f>
      </c>
      <c r="J21" s="29">
        <f>IFERROR(H21/G21,"-")</f>
      </c>
      <c r="K21" s="30">
        <f>IFERROR(H21/(G21+I20),"-")</f>
      </c>
      <c r="L21" s="26">
        <f>COUNTIFS(#REF!,"Phương Linh",#REF!,A21)</f>
      </c>
      <c r="M21" s="26">
        <f>COUNTIFS(#REF!,"Phương Linh",#REF!,A21,#REF!,"Qualified")+COUNTIFS(#REF!,"Phương Linh",#REF!,A21,#REF!,"Unqualified")</f>
      </c>
      <c r="N21" s="26">
        <f>N20+L21-M21</f>
      </c>
      <c r="O21" s="31">
        <f>IFERROR(M21/L21,"-")</f>
      </c>
      <c r="P21" s="32">
        <f>IFERROR(M21/(L21+N20),"-")</f>
      </c>
    </row>
    <row r="22">
      <c r="A22" s="23">
        <v>46150</v>
      </c>
      <c r="B22" s="27">
        <f>COUNTIFS('Lead Logs'!B:B,"Hồng Nhung",'Lead Logs'!C:C,A22)</f>
      </c>
      <c r="C22" s="27">
        <f>COUNTIFS('Lead Logs'!B:B,"Hồng Nhung",'Lead Logs'!D:D,A22,'Lead Logs'!E:E,"Qualified")+COUNTIFS('Lead Logs'!B:B,"Hồng Nhung",'Lead Logs'!D:D,A22,'Lead Logs'!E:E,"Unqualified")</f>
      </c>
      <c r="D22" s="27">
        <f>D21+B22-C22</f>
      </c>
      <c r="E22" s="24">
        <f>IFERROR(C22/B22,"-")</f>
      </c>
      <c r="F22" s="28">
        <f>IFERROR(C22/(B22+D21),"-")</f>
      </c>
      <c r="G22" s="25">
        <f>COUNTIFS(#REF!,"Kim Huệ",#REF!,A22)</f>
      </c>
      <c r="H22" s="25">
        <f>COUNTIFS(#REF!,"Kim Huệ",#REF!,A22,#REF!,"Qualified")+COUNTIFS(#REF!,"Kim Huệ",#REF!,A22,#REF!,"Unqualified")</f>
      </c>
      <c r="I22" s="25">
        <f>I21+G22-H22</f>
      </c>
      <c r="J22" s="29">
        <f>IFERROR(H22/G22,"-")</f>
      </c>
      <c r="K22" s="30">
        <f>IFERROR(H22/(G22+I21),"-")</f>
      </c>
      <c r="L22" s="26">
        <f>COUNTIFS(#REF!,"Phương Linh",#REF!,A22)</f>
      </c>
      <c r="M22" s="26">
        <f>COUNTIFS(#REF!,"Phương Linh",#REF!,A22,#REF!,"Qualified")+COUNTIFS(#REF!,"Phương Linh",#REF!,A22,#REF!,"Unqualified")</f>
      </c>
      <c r="N22" s="26">
        <f>N21+L22-M22</f>
      </c>
      <c r="O22" s="31">
        <f>IFERROR(M22/L22,"-")</f>
      </c>
      <c r="P22" s="32">
        <f>IFERROR(M22/(L22+N21),"-")</f>
      </c>
    </row>
    <row r="23">
      <c r="A23" s="23">
        <v>46151</v>
      </c>
      <c r="B23" s="27">
        <f>COUNTIFS('Lead Logs'!B:B,"Hồng Nhung",'Lead Logs'!C:C,A23)</f>
      </c>
      <c r="C23" s="27">
        <f>COUNTIFS('Lead Logs'!B:B,"Hồng Nhung",'Lead Logs'!D:D,A23,'Lead Logs'!E:E,"Qualified")+COUNTIFS('Lead Logs'!B:B,"Hồng Nhung",'Lead Logs'!D:D,A23,'Lead Logs'!E:E,"Unqualified")</f>
      </c>
      <c r="D23" s="27">
        <f>D22+B23-C23</f>
      </c>
      <c r="E23" s="24">
        <f>IFERROR(C23/B23,"-")</f>
      </c>
      <c r="F23" s="28">
        <f>IFERROR(C23/(B23+D22),"-")</f>
      </c>
      <c r="G23" s="25">
        <f>COUNTIFS(#REF!,"Kim Huệ",#REF!,A23)</f>
      </c>
      <c r="H23" s="25">
        <f>COUNTIFS(#REF!,"Kim Huệ",#REF!,A23,#REF!,"Qualified")+COUNTIFS(#REF!,"Kim Huệ",#REF!,A23,#REF!,"Unqualified")</f>
      </c>
      <c r="I23" s="25">
        <f>I22+G23-H23</f>
      </c>
      <c r="J23" s="29">
        <f>IFERROR(H23/G23,"-")</f>
      </c>
      <c r="K23" s="30">
        <f>IFERROR(H23/(G23+I22),"-")</f>
      </c>
      <c r="L23" s="26">
        <f>COUNTIFS(#REF!,"Phương Linh",#REF!,A23)</f>
      </c>
      <c r="M23" s="26">
        <f>COUNTIFS(#REF!,"Phương Linh",#REF!,A23,#REF!,"Qualified")+COUNTIFS(#REF!,"Phương Linh",#REF!,A23,#REF!,"Unqualified")</f>
      </c>
      <c r="N23" s="26">
        <f>N22+L23-M23</f>
      </c>
      <c r="O23" s="31">
        <f>IFERROR(M23/L23,"-")</f>
      </c>
      <c r="P23" s="32">
        <f>IFERROR(M23/(L23+N22),"-")</f>
      </c>
    </row>
    <row r="24">
      <c r="A24" s="23">
        <v>46152</v>
      </c>
      <c r="B24" s="27">
        <f>COUNTIFS('Lead Logs'!B:B,"Hồng Nhung",'Lead Logs'!C:C,A24)</f>
      </c>
      <c r="C24" s="27">
        <f>COUNTIFS('Lead Logs'!B:B,"Hồng Nhung",'Lead Logs'!D:D,A24,'Lead Logs'!E:E,"Qualified")+COUNTIFS('Lead Logs'!B:B,"Hồng Nhung",'Lead Logs'!D:D,A24,'Lead Logs'!E:E,"Unqualified")</f>
      </c>
      <c r="D24" s="27">
        <f>D23+B24-C24</f>
      </c>
      <c r="E24" s="24">
        <f>IFERROR(C24/B24,"-")</f>
      </c>
      <c r="F24" s="28">
        <f>IFERROR(C24/(B24+D23),"-")</f>
      </c>
      <c r="G24" s="25">
        <f>COUNTIFS(#REF!,"Kim Huệ",#REF!,A24)</f>
      </c>
      <c r="H24" s="25">
        <f>COUNTIFS(#REF!,"Kim Huệ",#REF!,A24,#REF!,"Qualified")+COUNTIFS(#REF!,"Kim Huệ",#REF!,A24,#REF!,"Unqualified")</f>
      </c>
      <c r="I24" s="25">
        <f>I23+G24-H24</f>
      </c>
      <c r="J24" s="29">
        <f>IFERROR(H24/G24,"-")</f>
      </c>
      <c r="K24" s="30">
        <f>IFERROR(H24/(G24+I23),"-")</f>
      </c>
      <c r="L24" s="26">
        <f>COUNTIFS(#REF!,"Phương Linh",#REF!,A24)</f>
      </c>
      <c r="M24" s="26">
        <f>COUNTIFS(#REF!,"Phương Linh",#REF!,A24,#REF!,"Qualified")+COUNTIFS(#REF!,"Phương Linh",#REF!,A24,#REF!,"Unqualified")</f>
      </c>
      <c r="N24" s="26">
        <f>N23+L24-M24</f>
      </c>
      <c r="O24" s="31">
        <f>IFERROR(M24/L24,"-")</f>
      </c>
      <c r="P24" s="32">
        <f>IFERROR(M24/(L24+N23),"-")</f>
      </c>
    </row>
    <row r="25">
      <c r="A25" s="23">
        <v>46153</v>
      </c>
      <c r="B25" s="27">
        <f>COUNTIFS('Lead Logs'!B:B,"Hồng Nhung",'Lead Logs'!C:C,A25)</f>
      </c>
      <c r="C25" s="27">
        <f>COUNTIFS('Lead Logs'!B:B,"Hồng Nhung",'Lead Logs'!D:D,A25,'Lead Logs'!E:E,"Qualified")+COUNTIFS('Lead Logs'!B:B,"Hồng Nhung",'Lead Logs'!D:D,A25,'Lead Logs'!E:E,"Unqualified")</f>
      </c>
      <c r="D25" s="27">
        <f>D24+B25-C25</f>
      </c>
      <c r="E25" s="24">
        <f>IFERROR(C25/B25,"-")</f>
      </c>
      <c r="F25" s="28">
        <f>IFERROR(C25/(B25+D24),"-")</f>
      </c>
      <c r="G25" s="25">
        <f>COUNTIFS(#REF!,"Kim Huệ",#REF!,A25)</f>
      </c>
      <c r="H25" s="25">
        <f>COUNTIFS(#REF!,"Kim Huệ",#REF!,A25,#REF!,"Qualified")+COUNTIFS(#REF!,"Kim Huệ",#REF!,A25,#REF!,"Unqualified")</f>
      </c>
      <c r="I25" s="25">
        <f>I24+G25-H25</f>
      </c>
      <c r="J25" s="29">
        <f>IFERROR(H25/G25,"-")</f>
      </c>
      <c r="K25" s="30">
        <f>IFERROR(H25/(G25+I24),"-")</f>
      </c>
      <c r="L25" s="26">
        <f>COUNTIFS(#REF!,"Phương Linh",#REF!,A25)</f>
      </c>
      <c r="M25" s="26">
        <f>COUNTIFS(#REF!,"Phương Linh",#REF!,A25,#REF!,"Qualified")+COUNTIFS(#REF!,"Phương Linh",#REF!,A25,#REF!,"Unqualified")</f>
      </c>
      <c r="N25" s="26">
        <f>N24+L25-M25</f>
      </c>
      <c r="O25" s="31">
        <f>IFERROR(M25/L25,"-")</f>
      </c>
      <c r="P25" s="32">
        <f>IFERROR(M25/(L25+N24),"-")</f>
      </c>
    </row>
    <row r="26">
      <c r="A26" s="23">
        <v>46154</v>
      </c>
      <c r="B26" s="27">
        <f>COUNTIFS('Lead Logs'!B:B,"Hồng Nhung",'Lead Logs'!C:C,A26)</f>
      </c>
      <c r="C26" s="27">
        <f>COUNTIFS('Lead Logs'!B:B,"Hồng Nhung",'Lead Logs'!D:D,A26,'Lead Logs'!E:E,"Qualified")+COUNTIFS('Lead Logs'!B:B,"Hồng Nhung",'Lead Logs'!D:D,A26,'Lead Logs'!E:E,"Unqualified")</f>
      </c>
      <c r="D26" s="27">
        <f>D25+B26-C26</f>
      </c>
      <c r="E26" s="24">
        <f>IFERROR(C26/B26,"-")</f>
      </c>
      <c r="F26" s="28">
        <f>IFERROR(C26/(B26+D25),"-")</f>
      </c>
      <c r="G26" s="25">
        <f>COUNTIFS(#REF!,"Kim Huệ",#REF!,A26)</f>
      </c>
      <c r="H26" s="25">
        <f>COUNTIFS(#REF!,"Kim Huệ",#REF!,A26,#REF!,"Qualified")+COUNTIFS(#REF!,"Kim Huệ",#REF!,A26,#REF!,"Unqualified")</f>
      </c>
      <c r="I26" s="25">
        <f>I25+G26-H26</f>
      </c>
      <c r="J26" s="29">
        <f>IFERROR(H26/G26,"-")</f>
      </c>
      <c r="K26" s="30">
        <f>IFERROR(H26/(G26+I25),"-")</f>
      </c>
      <c r="L26" s="26">
        <f>COUNTIFS(#REF!,"Phương Linh",#REF!,A26)</f>
      </c>
      <c r="M26" s="26">
        <f>COUNTIFS(#REF!,"Phương Linh",#REF!,A26,#REF!,"Qualified")+COUNTIFS(#REF!,"Phương Linh",#REF!,A26,#REF!,"Unqualified")</f>
      </c>
      <c r="N26" s="26">
        <f>N25+L26-M26</f>
      </c>
      <c r="O26" s="31">
        <f>IFERROR(M26/L26,"-")</f>
      </c>
      <c r="P26" s="32">
        <f>IFERROR(M26/(L26+N25),"-")</f>
      </c>
    </row>
    <row r="27">
      <c r="A27" s="23">
        <v>46155</v>
      </c>
      <c r="B27" s="27">
        <f>COUNTIFS('Lead Logs'!B:B,"Hồng Nhung",'Lead Logs'!C:C,A27)</f>
      </c>
      <c r="C27" s="27">
        <f>COUNTIFS('Lead Logs'!B:B,"Hồng Nhung",'Lead Logs'!D:D,A27,'Lead Logs'!E:E,"Qualified")+COUNTIFS('Lead Logs'!B:B,"Hồng Nhung",'Lead Logs'!D:D,A27,'Lead Logs'!E:E,"Unqualified")</f>
      </c>
      <c r="D27" s="27">
        <f>D26+B27-C27</f>
      </c>
      <c r="E27" s="24">
        <f>IFERROR(C27/B27,"-")</f>
      </c>
      <c r="F27" s="28">
        <f>IFERROR(C27/(B27+D26),"-")</f>
      </c>
      <c r="G27" s="25">
        <f>COUNTIFS(#REF!,"Kim Huệ",#REF!,A27)</f>
      </c>
      <c r="H27" s="25">
        <f>COUNTIFS(#REF!,"Kim Huệ",#REF!,A27,#REF!,"Qualified")+COUNTIFS(#REF!,"Kim Huệ",#REF!,A27,#REF!,"Unqualified")</f>
      </c>
      <c r="I27" s="25">
        <f>I26+G27-H27</f>
      </c>
      <c r="J27" s="29">
        <f>IFERROR(H27/G27,"-")</f>
      </c>
      <c r="K27" s="30">
        <f>IFERROR(H27/(G27+I26),"-")</f>
      </c>
      <c r="L27" s="26">
        <f>COUNTIFS(#REF!,"Phương Linh",#REF!,A27)</f>
      </c>
      <c r="M27" s="26">
        <f>COUNTIFS(#REF!,"Phương Linh",#REF!,A27,#REF!,"Qualified")+COUNTIFS(#REF!,"Phương Linh",#REF!,A27,#REF!,"Unqualified")</f>
      </c>
      <c r="N27" s="26">
        <f>N26+L27-M27</f>
      </c>
      <c r="O27" s="31">
        <f>IFERROR(M27/L27,"-")</f>
      </c>
      <c r="P27" s="32">
        <f>IFERROR(M27/(L27+N26),"-")</f>
      </c>
    </row>
    <row r="28">
      <c r="A28" s="23">
        <v>46156</v>
      </c>
      <c r="B28" s="27">
        <f>COUNTIFS('Lead Logs'!B:B,"Hồng Nhung",'Lead Logs'!C:C,A28)</f>
      </c>
      <c r="C28" s="27">
        <f>COUNTIFS('Lead Logs'!B:B,"Hồng Nhung",'Lead Logs'!D:D,A28,'Lead Logs'!E:E,"Qualified")+COUNTIFS('Lead Logs'!B:B,"Hồng Nhung",'Lead Logs'!D:D,A28,'Lead Logs'!E:E,"Unqualified")</f>
      </c>
      <c r="D28" s="27">
        <f>D27+B28-C28</f>
      </c>
      <c r="E28" s="24">
        <f>IFERROR(C28/B28,"-")</f>
      </c>
      <c r="F28" s="28">
        <f>IFERROR(C28/(B28+D27),"-")</f>
      </c>
      <c r="G28" s="25">
        <f>COUNTIFS(#REF!,"Kim Huệ",#REF!,A28)</f>
      </c>
      <c r="H28" s="25">
        <f>COUNTIFS(#REF!,"Kim Huệ",#REF!,A28,#REF!,"Qualified")+COUNTIFS(#REF!,"Kim Huệ",#REF!,A28,#REF!,"Unqualified")</f>
      </c>
      <c r="I28" s="25">
        <f>I27+G28-H28</f>
      </c>
      <c r="J28" s="29">
        <f>IFERROR(H28/G28,"-")</f>
      </c>
      <c r="K28" s="30">
        <f>IFERROR(H28/(G28+I27),"-")</f>
      </c>
      <c r="L28" s="26">
        <f>COUNTIFS(#REF!,"Phương Linh",#REF!,A28)</f>
      </c>
      <c r="M28" s="26">
        <f>COUNTIFS(#REF!,"Phương Linh",#REF!,A28,#REF!,"Qualified")+COUNTIFS(#REF!,"Phương Linh",#REF!,A28,#REF!,"Unqualified")</f>
      </c>
      <c r="N28" s="26">
        <f>N27+L28-M28</f>
      </c>
      <c r="O28" s="31">
        <f>IFERROR(M28/L28,"-")</f>
      </c>
      <c r="P28" s="32">
        <f>IFERROR(M28/(L28+N27),"-")</f>
      </c>
    </row>
    <row r="29">
      <c r="A29" s="23">
        <v>46157</v>
      </c>
      <c r="B29" s="27">
        <f>COUNTIFS('Lead Logs'!B:B,"Hồng Nhung",'Lead Logs'!C:C,A29)</f>
      </c>
      <c r="C29" s="27">
        <f>COUNTIFS('Lead Logs'!B:B,"Hồng Nhung",'Lead Logs'!D:D,A29,'Lead Logs'!E:E,"Qualified")+COUNTIFS('Lead Logs'!B:B,"Hồng Nhung",'Lead Logs'!D:D,A29,'Lead Logs'!E:E,"Unqualified")</f>
      </c>
      <c r="D29" s="27">
        <f>D28+B29-C29</f>
      </c>
      <c r="E29" s="24">
        <f>IFERROR(C29/B29,"-")</f>
      </c>
      <c r="F29" s="28">
        <f>IFERROR(C29/(B29+D28),"-")</f>
      </c>
      <c r="G29" s="25">
        <f>COUNTIFS(#REF!,"Kim Huệ",#REF!,A29)</f>
      </c>
      <c r="H29" s="25">
        <f>COUNTIFS(#REF!,"Kim Huệ",#REF!,A29,#REF!,"Qualified")+COUNTIFS(#REF!,"Kim Huệ",#REF!,A29,#REF!,"Unqualified")</f>
      </c>
      <c r="I29" s="25">
        <f>I28+G29-H29</f>
      </c>
      <c r="J29" s="29">
        <f>IFERROR(H29/G29,"-")</f>
      </c>
      <c r="K29" s="30">
        <f>IFERROR(H29/(G29+I28),"-")</f>
      </c>
      <c r="L29" s="26">
        <f>COUNTIFS(#REF!,"Phương Linh",#REF!,A29)</f>
      </c>
      <c r="M29" s="26">
        <f>COUNTIFS(#REF!,"Phương Linh",#REF!,A29,#REF!,"Qualified")+COUNTIFS(#REF!,"Phương Linh",#REF!,A29,#REF!,"Unqualified")</f>
      </c>
      <c r="N29" s="26">
        <f>N28+L29-M29</f>
      </c>
      <c r="O29" s="31">
        <f>IFERROR(M29/L29,"-")</f>
      </c>
      <c r="P29" s="32">
        <f>IFERROR(M29/(L29+N28),"-")</f>
      </c>
    </row>
    <row r="30">
      <c r="A30" s="23">
        <v>46158</v>
      </c>
      <c r="B30" s="27">
        <f>COUNTIFS('Lead Logs'!B:B,"Hồng Nhung",'Lead Logs'!C:C,A30)</f>
      </c>
      <c r="C30" s="27">
        <f>COUNTIFS('Lead Logs'!B:B,"Hồng Nhung",'Lead Logs'!D:D,A30,'Lead Logs'!E:E,"Qualified")+COUNTIFS('Lead Logs'!B:B,"Hồng Nhung",'Lead Logs'!D:D,A30,'Lead Logs'!E:E,"Unqualified")</f>
      </c>
      <c r="D30" s="27">
        <f>D29+B30-C30</f>
      </c>
      <c r="E30" s="24">
        <f>IFERROR(C30/B30,"-")</f>
      </c>
      <c r="F30" s="28">
        <f>IFERROR(C30/(B30+D29),"-")</f>
      </c>
      <c r="G30" s="25">
        <f>COUNTIFS(#REF!,"Kim Huệ",#REF!,A30)</f>
      </c>
      <c r="H30" s="25">
        <f>COUNTIFS(#REF!,"Kim Huệ",#REF!,A30,#REF!,"Qualified")+COUNTIFS(#REF!,"Kim Huệ",#REF!,A30,#REF!,"Unqualified")</f>
      </c>
      <c r="I30" s="25">
        <f>I29+G30-H30</f>
      </c>
      <c r="J30" s="29">
        <f>IFERROR(H30/G30,"-")</f>
      </c>
      <c r="K30" s="30">
        <f>IFERROR(H30/(G30+I29),"-")</f>
      </c>
      <c r="L30" s="26">
        <f>COUNTIFS(#REF!,"Phương Linh",#REF!,A30)</f>
      </c>
      <c r="M30" s="26">
        <f>COUNTIFS(#REF!,"Phương Linh",#REF!,A30,#REF!,"Qualified")+COUNTIFS(#REF!,"Phương Linh",#REF!,A30,#REF!,"Unqualified")</f>
      </c>
      <c r="N30" s="26">
        <f>N29+L30-M30</f>
      </c>
      <c r="O30" s="31">
        <f>IFERROR(M30/L30,"-")</f>
      </c>
      <c r="P30" s="32">
        <f>IFERROR(M30/(L30+N29),"-")</f>
      </c>
    </row>
    <row r="31">
      <c r="A31" s="23">
        <v>46159</v>
      </c>
      <c r="B31" s="27">
        <f>COUNTIFS('Lead Logs'!B:B,"Hồng Nhung",'Lead Logs'!C:C,A31)</f>
      </c>
      <c r="C31" s="27">
        <f>COUNTIFS('Lead Logs'!B:B,"Hồng Nhung",'Lead Logs'!D:D,A31,'Lead Logs'!E:E,"Qualified")+COUNTIFS('Lead Logs'!B:B,"Hồng Nhung",'Lead Logs'!D:D,A31,'Lead Logs'!E:E,"Unqualified")</f>
      </c>
      <c r="D31" s="27">
        <f>D30+B31-C31</f>
      </c>
      <c r="E31" s="24">
        <f>IFERROR(C31/B31,"-")</f>
      </c>
      <c r="F31" s="28">
        <f>IFERROR(C31/(B31+D30),"-")</f>
      </c>
      <c r="G31" s="25">
        <f>COUNTIFS(#REF!,"Kim Huệ",#REF!,A31)</f>
      </c>
      <c r="H31" s="25">
        <f>COUNTIFS(#REF!,"Kim Huệ",#REF!,A31,#REF!,"Qualified")+COUNTIFS(#REF!,"Kim Huệ",#REF!,A31,#REF!,"Unqualified")</f>
      </c>
      <c r="I31" s="25">
        <f>I30+G31-H31</f>
      </c>
      <c r="J31" s="29">
        <f>IFERROR(H31/G31,"-")</f>
      </c>
      <c r="K31" s="30">
        <f>IFERROR(H31/(G31+I30),"-")</f>
      </c>
      <c r="L31" s="26">
        <f>COUNTIFS(#REF!,"Phương Linh",#REF!,A31)</f>
      </c>
      <c r="M31" s="26">
        <f>COUNTIFS(#REF!,"Phương Linh",#REF!,A31,#REF!,"Qualified")+COUNTIFS(#REF!,"Phương Linh",#REF!,A31,#REF!,"Unqualified")</f>
      </c>
      <c r="N31" s="26">
        <f>N30+L31-M31</f>
      </c>
      <c r="O31" s="31">
        <f>IFERROR(M31/L31,"-")</f>
      </c>
      <c r="P31" s="32">
        <f>IFERROR(M31/(L31+N30),"-")</f>
      </c>
    </row>
    <row r="32">
      <c r="A32" s="23">
        <v>46160</v>
      </c>
      <c r="B32" s="27">
        <f>COUNTIFS('Lead Logs'!B:B,"Hồng Nhung",'Lead Logs'!C:C,A32)</f>
      </c>
      <c r="C32" s="27">
        <f>COUNTIFS('Lead Logs'!B:B,"Hồng Nhung",'Lead Logs'!D:D,A32,'Lead Logs'!E:E,"Qualified")+COUNTIFS('Lead Logs'!B:B,"Hồng Nhung",'Lead Logs'!D:D,A32,'Lead Logs'!E:E,"Unqualified")</f>
      </c>
      <c r="D32" s="27">
        <f>D31+B32-C32</f>
      </c>
      <c r="E32" s="24">
        <f>IFERROR(C32/B32,"-")</f>
      </c>
      <c r="F32" s="28">
        <f>IFERROR(C32/(B32+D31),"-")</f>
      </c>
      <c r="G32" s="25">
        <f>COUNTIFS(#REF!,"Kim Huệ",#REF!,A32)</f>
      </c>
      <c r="H32" s="25">
        <f>COUNTIFS(#REF!,"Kim Huệ",#REF!,A32,#REF!,"Qualified")+COUNTIFS(#REF!,"Kim Huệ",#REF!,A32,#REF!,"Unqualified")</f>
      </c>
      <c r="I32" s="25">
        <f>I31+G32-H32</f>
      </c>
      <c r="J32" s="29">
        <f>IFERROR(H32/G32,"-")</f>
      </c>
      <c r="K32" s="30">
        <f>IFERROR(H32/(G32+I31),"-")</f>
      </c>
      <c r="L32" s="26">
        <f>COUNTIFS(#REF!,"Phương Linh",#REF!,A32)</f>
      </c>
      <c r="M32" s="26">
        <f>COUNTIFS(#REF!,"Phương Linh",#REF!,A32,#REF!,"Qualified")+COUNTIFS(#REF!,"Phương Linh",#REF!,A32,#REF!,"Unqualified")</f>
      </c>
      <c r="N32" s="26">
        <f>N31+L32-M32</f>
      </c>
      <c r="O32" s="31">
        <f>IFERROR(M32/L32,"-")</f>
      </c>
      <c r="P32" s="32">
        <f>IFERROR(M32/(L32+N31),"-")</f>
      </c>
    </row>
    <row r="33">
      <c r="A33" s="23">
        <v>46161</v>
      </c>
      <c r="B33" s="27">
        <f>COUNTIFS('Lead Logs'!B:B,"Hồng Nhung",'Lead Logs'!C:C,A33)</f>
      </c>
      <c r="C33" s="27">
        <f>COUNTIFS('Lead Logs'!B:B,"Hồng Nhung",'Lead Logs'!D:D,A33,'Lead Logs'!E:E,"Qualified")+COUNTIFS('Lead Logs'!B:B,"Hồng Nhung",'Lead Logs'!D:D,A33,'Lead Logs'!E:E,"Unqualified")</f>
      </c>
      <c r="D33" s="27">
        <f>D32+B33-C33</f>
      </c>
      <c r="E33" s="24">
        <f>IFERROR(C33/B33,"-")</f>
      </c>
      <c r="F33" s="28">
        <f>IFERROR(C33/(B33+D32),"-")</f>
      </c>
      <c r="G33" s="25">
        <f>COUNTIFS(#REF!,"Kim Huệ",#REF!,A33)</f>
      </c>
      <c r="H33" s="25">
        <f>COUNTIFS(#REF!,"Kim Huệ",#REF!,A33,#REF!,"Qualified")+COUNTIFS(#REF!,"Kim Huệ",#REF!,A33,#REF!,"Unqualified")</f>
      </c>
      <c r="I33" s="25">
        <f>I32+G33-H33</f>
      </c>
      <c r="J33" s="29">
        <f>IFERROR(H33/G33,"-")</f>
      </c>
      <c r="K33" s="30">
        <f>IFERROR(H33/(G33+I32),"-")</f>
      </c>
      <c r="L33" s="26">
        <f>COUNTIFS(#REF!,"Phương Linh",#REF!,A33)</f>
      </c>
      <c r="M33" s="26">
        <f>COUNTIFS(#REF!,"Phương Linh",#REF!,A33,#REF!,"Qualified")+COUNTIFS(#REF!,"Phương Linh",#REF!,A33,#REF!,"Unqualified")</f>
      </c>
      <c r="N33" s="26">
        <f>N32+L33-M33</f>
      </c>
      <c r="O33" s="31">
        <f>IFERROR(M33/L33,"-")</f>
      </c>
      <c r="P33" s="32">
        <f>IFERROR(M33/(L33+N32),"-")</f>
      </c>
    </row>
    <row r="34">
      <c r="A34" s="23">
        <v>46162</v>
      </c>
      <c r="B34" s="27">
        <f>COUNTIFS('Lead Logs'!B:B,"Hồng Nhung",'Lead Logs'!C:C,A34)</f>
      </c>
      <c r="C34" s="27">
        <f>COUNTIFS('Lead Logs'!B:B,"Hồng Nhung",'Lead Logs'!D:D,A34,'Lead Logs'!E:E,"Qualified")+COUNTIFS('Lead Logs'!B:B,"Hồng Nhung",'Lead Logs'!D:D,A34,'Lead Logs'!E:E,"Unqualified")</f>
      </c>
      <c r="D34" s="27">
        <f>D33+B34-C34</f>
      </c>
      <c r="E34" s="24">
        <f>IFERROR(C34/B34,"-")</f>
      </c>
      <c r="F34" s="28">
        <f>IFERROR(C34/(B34+D33),"-")</f>
      </c>
      <c r="G34" s="25">
        <f>COUNTIFS(#REF!,"Kim Huệ",#REF!,A34)</f>
      </c>
      <c r="H34" s="25">
        <f>COUNTIFS(#REF!,"Kim Huệ",#REF!,A34,#REF!,"Qualified")+COUNTIFS(#REF!,"Kim Huệ",#REF!,A34,#REF!,"Unqualified")</f>
      </c>
      <c r="I34" s="25">
        <f>I33+G34-H34</f>
      </c>
      <c r="J34" s="29">
        <f>IFERROR(H34/G34,"-")</f>
      </c>
      <c r="K34" s="30">
        <f>IFERROR(H34/(G34+I33),"-")</f>
      </c>
      <c r="L34" s="26">
        <f>COUNTIFS(#REF!,"Phương Linh",#REF!,A34)</f>
      </c>
      <c r="M34" s="26">
        <f>COUNTIFS(#REF!,"Phương Linh",#REF!,A34,#REF!,"Qualified")+COUNTIFS(#REF!,"Phương Linh",#REF!,A34,#REF!,"Unqualified")</f>
      </c>
      <c r="N34" s="26">
        <f>N33+L34-M34</f>
      </c>
      <c r="O34" s="31">
        <f>IFERROR(M34/L34,"-")</f>
      </c>
      <c r="P34" s="32">
        <f>IFERROR(M34/(L34+N33),"-")</f>
      </c>
    </row>
    <row r="35">
      <c r="A35" s="23">
        <v>46163</v>
      </c>
      <c r="B35" s="27">
        <f>COUNTIFS('Lead Logs'!B:B,"Hồng Nhung",'Lead Logs'!C:C,A35)</f>
      </c>
      <c r="C35" s="27">
        <f>COUNTIFS('Lead Logs'!B:B,"Hồng Nhung",'Lead Logs'!D:D,A35,'Lead Logs'!E:E,"Qualified")+COUNTIFS('Lead Logs'!B:B,"Hồng Nhung",'Lead Logs'!D:D,A35,'Lead Logs'!E:E,"Unqualified")</f>
      </c>
      <c r="D35" s="27">
        <f>D34+B35-C35</f>
      </c>
      <c r="E35" s="24">
        <f>IFERROR(C35/B35,"-")</f>
      </c>
      <c r="F35" s="28">
        <f>IFERROR(C35/(B35+D34),"-")</f>
      </c>
      <c r="G35" s="25">
        <f>COUNTIFS(#REF!,"Kim Huệ",#REF!,A35)</f>
      </c>
      <c r="H35" s="25">
        <f>COUNTIFS(#REF!,"Kim Huệ",#REF!,A35,#REF!,"Qualified")+COUNTIFS(#REF!,"Kim Huệ",#REF!,A35,#REF!,"Unqualified")</f>
      </c>
      <c r="I35" s="25">
        <f>I34+G35-H35</f>
      </c>
      <c r="J35" s="29">
        <f>IFERROR(H35/G35,"-")</f>
      </c>
      <c r="K35" s="30">
        <f>IFERROR(H35/(G35+I34),"-")</f>
      </c>
      <c r="L35" s="26">
        <f>COUNTIFS(#REF!,"Phương Linh",#REF!,A35)</f>
      </c>
      <c r="M35" s="26">
        <f>COUNTIFS(#REF!,"Phương Linh",#REF!,A35,#REF!,"Qualified")+COUNTIFS(#REF!,"Phương Linh",#REF!,A35,#REF!,"Unqualified")</f>
      </c>
      <c r="N35" s="26">
        <f>N34+L35-M35</f>
      </c>
      <c r="O35" s="31">
        <f>IFERROR(M35/L35,"-")</f>
      </c>
      <c r="P35" s="32">
        <f>IFERROR(M35/(L35+N34),"-")</f>
      </c>
    </row>
    <row r="36">
      <c r="A36" s="23">
        <v>46164</v>
      </c>
      <c r="B36" s="27">
        <f>COUNTIFS('Lead Logs'!B:B,"Hồng Nhung",'Lead Logs'!C:C,A36)</f>
      </c>
      <c r="C36" s="27">
        <f>COUNTIFS('Lead Logs'!B:B,"Hồng Nhung",'Lead Logs'!D:D,A36,'Lead Logs'!E:E,"Qualified")+COUNTIFS('Lead Logs'!B:B,"Hồng Nhung",'Lead Logs'!D:D,A36,'Lead Logs'!E:E,"Unqualified")</f>
      </c>
      <c r="D36" s="27">
        <f>D35+B36-C36</f>
      </c>
      <c r="E36" s="24">
        <f>IFERROR(C36/B36,"-")</f>
      </c>
      <c r="F36" s="28">
        <f>IFERROR(C36/(B36+D35),"-")</f>
      </c>
      <c r="G36" s="25">
        <f>COUNTIFS(#REF!,"Kim Huệ",#REF!,A36)</f>
      </c>
      <c r="H36" s="25">
        <f>COUNTIFS(#REF!,"Kim Huệ",#REF!,A36,#REF!,"Qualified")+COUNTIFS(#REF!,"Kim Huệ",#REF!,A36,#REF!,"Unqualified")</f>
      </c>
      <c r="I36" s="25">
        <f>I35+G36-H36</f>
      </c>
      <c r="J36" s="29">
        <f>IFERROR(H36/G36,"-")</f>
      </c>
      <c r="K36" s="30">
        <f>IFERROR(H36/(G36+I35),"-")</f>
      </c>
      <c r="L36" s="26">
        <f>COUNTIFS(#REF!,"Phương Linh",#REF!,A36)</f>
      </c>
      <c r="M36" s="26">
        <f>COUNTIFS(#REF!,"Phương Linh",#REF!,A36,#REF!,"Qualified")+COUNTIFS(#REF!,"Phương Linh",#REF!,A36,#REF!,"Unqualified")</f>
      </c>
      <c r="N36" s="26">
        <f>N35+L36-M36</f>
      </c>
      <c r="O36" s="31">
        <f>IFERROR(M36/L36,"-")</f>
      </c>
      <c r="P36" s="32">
        <f>IFERROR(M36/(L36+N35),"-")</f>
      </c>
    </row>
    <row r="37">
      <c r="A37" s="23">
        <v>46165</v>
      </c>
      <c r="B37" s="27">
        <f>COUNTIFS('Lead Logs'!B:B,"Hồng Nhung",'Lead Logs'!C:C,A37)</f>
      </c>
      <c r="C37" s="27">
        <f>COUNTIFS('Lead Logs'!B:B,"Hồng Nhung",'Lead Logs'!D:D,A37,'Lead Logs'!E:E,"Qualified")+COUNTIFS('Lead Logs'!B:B,"Hồng Nhung",'Lead Logs'!D:D,A37,'Lead Logs'!E:E,"Unqualified")</f>
      </c>
      <c r="D37" s="27">
        <f>D36+B37-C37</f>
      </c>
      <c r="E37" s="24">
        <f>IFERROR(C37/B37,"-")</f>
      </c>
      <c r="F37" s="28">
        <f>IFERROR(C37/(B37+D36),"-")</f>
      </c>
      <c r="G37" s="25">
        <f>COUNTIFS(#REF!,"Kim Huệ",#REF!,A37)</f>
      </c>
      <c r="H37" s="25">
        <f>COUNTIFS(#REF!,"Kim Huệ",#REF!,A37,#REF!,"Qualified")+COUNTIFS(#REF!,"Kim Huệ",#REF!,A37,#REF!,"Unqualified")</f>
      </c>
      <c r="I37" s="25">
        <f>I36+G37-H37</f>
      </c>
      <c r="J37" s="29">
        <f>IFERROR(H37/G37,"-")</f>
      </c>
      <c r="K37" s="30">
        <f>IFERROR(H37/(G37+I36),"-")</f>
      </c>
      <c r="L37" s="26">
        <f>COUNTIFS(#REF!,"Phương Linh",#REF!,A37)</f>
      </c>
      <c r="M37" s="26">
        <f>COUNTIFS(#REF!,"Phương Linh",#REF!,A37,#REF!,"Qualified")+COUNTIFS(#REF!,"Phương Linh",#REF!,A37,#REF!,"Unqualified")</f>
      </c>
      <c r="N37" s="26">
        <f>N36+L37-M37</f>
      </c>
      <c r="O37" s="31">
        <f>IFERROR(M37/L37,"-")</f>
      </c>
      <c r="P37" s="32">
        <f>IFERROR(M37/(L37+N36),"-")</f>
      </c>
    </row>
    <row r="38">
      <c r="A38" s="23">
        <v>46166</v>
      </c>
      <c r="B38" s="27">
        <f>COUNTIFS('Lead Logs'!B:B,"Hồng Nhung",'Lead Logs'!C:C,A38)</f>
      </c>
      <c r="C38" s="27">
        <f>COUNTIFS('Lead Logs'!B:B,"Hồng Nhung",'Lead Logs'!D:D,A38,'Lead Logs'!E:E,"Qualified")+COUNTIFS('Lead Logs'!B:B,"Hồng Nhung",'Lead Logs'!D:D,A38,'Lead Logs'!E:E,"Unqualified")</f>
      </c>
      <c r="D38" s="27">
        <f>D37+B38-C38</f>
      </c>
      <c r="E38" s="24">
        <f>IFERROR(C38/B38,"-")</f>
      </c>
      <c r="F38" s="28">
        <f>IFERROR(C38/(B38+D37),"-")</f>
      </c>
      <c r="G38" s="25">
        <f>COUNTIFS(#REF!,"Kim Huệ",#REF!,A38)</f>
      </c>
      <c r="H38" s="25">
        <f>COUNTIFS(#REF!,"Kim Huệ",#REF!,A38,#REF!,"Qualified")+COUNTIFS(#REF!,"Kim Huệ",#REF!,A38,#REF!,"Unqualified")</f>
      </c>
      <c r="I38" s="25">
        <f>I37+G38-H38</f>
      </c>
      <c r="J38" s="29">
        <f>IFERROR(H38/G38,"-")</f>
      </c>
      <c r="K38" s="30">
        <f>IFERROR(H38/(G38+I37),"-")</f>
      </c>
      <c r="L38" s="26">
        <f>COUNTIFS(#REF!,"Phương Linh",#REF!,A38)</f>
      </c>
      <c r="M38" s="26">
        <f>COUNTIFS(#REF!,"Phương Linh",#REF!,A38,#REF!,"Qualified")+COUNTIFS(#REF!,"Phương Linh",#REF!,A38,#REF!,"Unqualified")</f>
      </c>
      <c r="N38" s="26">
        <f>N37+L38-M38</f>
      </c>
      <c r="O38" s="31">
        <f>IFERROR(M38/L38,"-")</f>
      </c>
      <c r="P38" s="32">
        <f>IFERROR(M38/(L38+N37),"-")</f>
      </c>
    </row>
    <row r="39">
      <c r="A39" s="23">
        <v>46167</v>
      </c>
      <c r="B39" s="27">
        <f>COUNTIFS('Lead Logs'!B:B,"Hồng Nhung",'Lead Logs'!C:C,A39)</f>
      </c>
      <c r="C39" s="27">
        <f>COUNTIFS('Lead Logs'!B:B,"Hồng Nhung",'Lead Logs'!D:D,A39,'Lead Logs'!E:E,"Qualified")+COUNTIFS('Lead Logs'!B:B,"Hồng Nhung",'Lead Logs'!D:D,A39,'Lead Logs'!E:E,"Unqualified")</f>
      </c>
      <c r="D39" s="27">
        <f>D38+B39-C39</f>
      </c>
      <c r="E39" s="24">
        <f>IFERROR(C39/B39,"-")</f>
      </c>
      <c r="F39" s="28">
        <f>IFERROR(C39/(B39+D38),"-")</f>
      </c>
      <c r="G39" s="25">
        <f>COUNTIFS(#REF!,"Kim Huệ",#REF!,A39)</f>
      </c>
      <c r="H39" s="25">
        <f>COUNTIFS(#REF!,"Kim Huệ",#REF!,A39,#REF!,"Qualified")+COUNTIFS(#REF!,"Kim Huệ",#REF!,A39,#REF!,"Unqualified")</f>
      </c>
      <c r="I39" s="25">
        <f>I38+G39-H39</f>
      </c>
      <c r="J39" s="29">
        <f>IFERROR(H39/G39,"-")</f>
      </c>
      <c r="K39" s="30">
        <f>IFERROR(H39/(G39+I38),"-")</f>
      </c>
      <c r="L39" s="26">
        <f>COUNTIFS(#REF!,"Phương Linh",#REF!,A39)</f>
      </c>
      <c r="M39" s="26">
        <f>COUNTIFS(#REF!,"Phương Linh",#REF!,A39,#REF!,"Qualified")+COUNTIFS(#REF!,"Phương Linh",#REF!,A39,#REF!,"Unqualified")</f>
      </c>
      <c r="N39" s="26">
        <f>N38+L39-M39</f>
      </c>
      <c r="O39" s="31">
        <f>IFERROR(M39/L39,"-")</f>
      </c>
      <c r="P39" s="32">
        <f>IFERROR(M39/(L39+N38),"-")</f>
      </c>
    </row>
    <row r="40">
      <c r="A40" s="23">
        <v>46168</v>
      </c>
      <c r="B40" s="27">
        <f>COUNTIFS('Lead Logs'!B:B,"Hồng Nhung",'Lead Logs'!C:C,A40)</f>
      </c>
      <c r="C40" s="27">
        <f>COUNTIFS('Lead Logs'!B:B,"Hồng Nhung",'Lead Logs'!D:D,A40,'Lead Logs'!E:E,"Qualified")+COUNTIFS('Lead Logs'!B:B,"Hồng Nhung",'Lead Logs'!D:D,A40,'Lead Logs'!E:E,"Unqualified")</f>
      </c>
      <c r="D40" s="27">
        <f>D39+B40-C40</f>
      </c>
      <c r="E40" s="24">
        <f>IFERROR(C40/B40,"-")</f>
      </c>
      <c r="F40" s="28">
        <f>IFERROR(C40/(B40+D39),"-")</f>
      </c>
      <c r="G40" s="25">
        <f>COUNTIFS(#REF!,"Kim Huệ",#REF!,A40)</f>
      </c>
      <c r="H40" s="25">
        <f>COUNTIFS(#REF!,"Kim Huệ",#REF!,A40,#REF!,"Qualified")+COUNTIFS(#REF!,"Kim Huệ",#REF!,A40,#REF!,"Unqualified")</f>
      </c>
      <c r="I40" s="25">
        <f>I39+G40-H40</f>
      </c>
      <c r="J40" s="29">
        <f>IFERROR(H40/G40,"-")</f>
      </c>
      <c r="K40" s="30">
        <f>IFERROR(H40/(G40+I39),"-")</f>
      </c>
      <c r="L40" s="26">
        <f>COUNTIFS(#REF!,"Phương Linh",#REF!,A40)</f>
      </c>
      <c r="M40" s="26">
        <f>COUNTIFS(#REF!,"Phương Linh",#REF!,A40,#REF!,"Qualified")+COUNTIFS(#REF!,"Phương Linh",#REF!,A40,#REF!,"Unqualified")</f>
      </c>
      <c r="N40" s="26">
        <f>N39+L40-M40</f>
      </c>
      <c r="O40" s="31">
        <f>IFERROR(M40/L40,"-")</f>
      </c>
      <c r="P40" s="32">
        <f>IFERROR(M40/(L40+N39),"-")</f>
      </c>
    </row>
    <row r="41">
      <c r="A41" s="23">
        <v>46169</v>
      </c>
      <c r="B41" s="27">
        <f>COUNTIFS('Lead Logs'!B:B,"Hồng Nhung",'Lead Logs'!C:C,A41)</f>
      </c>
      <c r="C41" s="27">
        <f>COUNTIFS('Lead Logs'!B:B,"Hồng Nhung",'Lead Logs'!D:D,A41,'Lead Logs'!E:E,"Qualified")+COUNTIFS('Lead Logs'!B:B,"Hồng Nhung",'Lead Logs'!D:D,A41,'Lead Logs'!E:E,"Unqualified")</f>
      </c>
      <c r="D41" s="27">
        <f>D40+B41-C41</f>
      </c>
      <c r="E41" s="24">
        <f>IFERROR(C41/B41,"-")</f>
      </c>
      <c r="F41" s="28">
        <f>IFERROR(C41/(B41+D40),"-")</f>
      </c>
      <c r="G41" s="25">
        <f>COUNTIFS(#REF!,"Kim Huệ",#REF!,A41)</f>
      </c>
      <c r="H41" s="25">
        <f>COUNTIFS(#REF!,"Kim Huệ",#REF!,A41,#REF!,"Qualified")+COUNTIFS(#REF!,"Kim Huệ",#REF!,A41,#REF!,"Unqualified")</f>
      </c>
      <c r="I41" s="25">
        <f>I40+G41-H41</f>
      </c>
      <c r="J41" s="29">
        <f>IFERROR(H41/G41,"-")</f>
      </c>
      <c r="K41" s="30">
        <f>IFERROR(H41/(G41+I40),"-")</f>
      </c>
      <c r="L41" s="26">
        <f>COUNTIFS(#REF!,"Phương Linh",#REF!,A41)</f>
      </c>
      <c r="M41" s="26">
        <f>COUNTIFS(#REF!,"Phương Linh",#REF!,A41,#REF!,"Qualified")+COUNTIFS(#REF!,"Phương Linh",#REF!,A41,#REF!,"Unqualified")</f>
      </c>
      <c r="N41" s="26">
        <f>N40+L41-M41</f>
      </c>
      <c r="O41" s="31">
        <f>IFERROR(M41/L41,"-")</f>
      </c>
      <c r="P41" s="32">
        <f>IFERROR(M41/(L41+N40),"-")</f>
      </c>
    </row>
    <row r="42">
      <c r="A42" s="23">
        <v>46170</v>
      </c>
      <c r="B42" s="27">
        <f>COUNTIFS('Lead Logs'!B:B,"Hồng Nhung",'Lead Logs'!C:C,A42)</f>
      </c>
      <c r="C42" s="27">
        <f>COUNTIFS('Lead Logs'!B:B,"Hồng Nhung",'Lead Logs'!D:D,A42,'Lead Logs'!E:E,"Qualified")+COUNTIFS('Lead Logs'!B:B,"Hồng Nhung",'Lead Logs'!D:D,A42,'Lead Logs'!E:E,"Unqualified")</f>
      </c>
      <c r="D42" s="27">
        <f>D41+B42-C42</f>
      </c>
      <c r="E42" s="24">
        <f>IFERROR(C42/B42,"-")</f>
      </c>
      <c r="F42" s="28">
        <f>IFERROR(C42/(B42+D41),"-")</f>
      </c>
      <c r="G42" s="25">
        <f>COUNTIFS(#REF!,"Kim Huệ",#REF!,A42)</f>
      </c>
      <c r="H42" s="25">
        <f>COUNTIFS(#REF!,"Kim Huệ",#REF!,A42,#REF!,"Qualified")+COUNTIFS(#REF!,"Kim Huệ",#REF!,A42,#REF!,"Unqualified")</f>
      </c>
      <c r="I42" s="25">
        <f>I41+G42-H42</f>
      </c>
      <c r="J42" s="29">
        <f>IFERROR(H42/G42,"-")</f>
      </c>
      <c r="K42" s="30">
        <f>IFERROR(H42/(G42+I41),"-")</f>
      </c>
      <c r="L42" s="26">
        <f>COUNTIFS(#REF!,"Phương Linh",#REF!,A42)</f>
      </c>
      <c r="M42" s="26">
        <f>COUNTIFS(#REF!,"Phương Linh",#REF!,A42,#REF!,"Qualified")+COUNTIFS(#REF!,"Phương Linh",#REF!,A42,#REF!,"Unqualified")</f>
      </c>
      <c r="N42" s="26">
        <f>N41+L42-M42</f>
      </c>
      <c r="O42" s="31">
        <f>IFERROR(M42/L42,"-")</f>
      </c>
      <c r="P42" s="32">
        <f>IFERROR(M42/(L42+N41),"-")</f>
      </c>
    </row>
    <row r="43">
      <c r="A43" s="23">
        <v>46171</v>
      </c>
      <c r="B43" s="27">
        <f>COUNTIFS('Lead Logs'!B:B,"Hồng Nhung",'Lead Logs'!C:C,A43)</f>
      </c>
      <c r="C43" s="27">
        <f>COUNTIFS('Lead Logs'!B:B,"Hồng Nhung",'Lead Logs'!D:D,A43,'Lead Logs'!E:E,"Qualified")+COUNTIFS('Lead Logs'!B:B,"Hồng Nhung",'Lead Logs'!D:D,A43,'Lead Logs'!E:E,"Unqualified")</f>
      </c>
      <c r="D43" s="27">
        <f>D42+B43-C43</f>
      </c>
      <c r="E43" s="24">
        <f>IFERROR(C43/B43,"-")</f>
      </c>
      <c r="F43" s="28">
        <f>IFERROR(C43/(B43+D42),"-")</f>
      </c>
      <c r="G43" s="25">
        <f>COUNTIFS(#REF!,"Kim Huệ",#REF!,A43)</f>
      </c>
      <c r="H43" s="25">
        <f>COUNTIFS(#REF!,"Kim Huệ",#REF!,A43,#REF!,"Qualified")+COUNTIFS(#REF!,"Kim Huệ",#REF!,A43,#REF!,"Unqualified")</f>
      </c>
      <c r="I43" s="25">
        <f>I42+G43-H43</f>
      </c>
      <c r="J43" s="29">
        <f>IFERROR(H43/G43,"-")</f>
      </c>
      <c r="K43" s="30">
        <f>IFERROR(H43/(G43+I42),"-")</f>
      </c>
      <c r="L43" s="26">
        <f>COUNTIFS(#REF!,"Phương Linh",#REF!,A43)</f>
      </c>
      <c r="M43" s="26">
        <f>COUNTIFS(#REF!,"Phương Linh",#REF!,A43,#REF!,"Qualified")+COUNTIFS(#REF!,"Phương Linh",#REF!,A43,#REF!,"Unqualified")</f>
      </c>
      <c r="N43" s="26">
        <f>N42+L43-M43</f>
      </c>
      <c r="O43" s="31">
        <f>IFERROR(M43/L43,"-")</f>
      </c>
      <c r="P43" s="32">
        <f>IFERROR(M43/(L43+N42),"-")</f>
      </c>
    </row>
    <row r="44">
      <c r="A44" s="23">
        <v>46172</v>
      </c>
      <c r="B44" s="27">
        <f>COUNTIFS('Lead Logs'!B:B,"Hồng Nhung",'Lead Logs'!C:C,A44)</f>
      </c>
      <c r="C44" s="27">
        <f>COUNTIFS('Lead Logs'!B:B,"Hồng Nhung",'Lead Logs'!D:D,A44,'Lead Logs'!E:E,"Qualified")+COUNTIFS('Lead Logs'!B:B,"Hồng Nhung",'Lead Logs'!D:D,A44,'Lead Logs'!E:E,"Unqualified")</f>
      </c>
      <c r="D44" s="27">
        <f>D43+B44-C44</f>
      </c>
      <c r="E44" s="24">
        <f>IFERROR(C44/B44,"-")</f>
      </c>
      <c r="F44" s="28">
        <f>IFERROR(C44/(B44+D43),"-")</f>
      </c>
      <c r="G44" s="25">
        <f>COUNTIFS(#REF!,"Kim Huệ",#REF!,A44)</f>
      </c>
      <c r="H44" s="25">
        <f>COUNTIFS(#REF!,"Kim Huệ",#REF!,A44,#REF!,"Qualified")+COUNTIFS(#REF!,"Kim Huệ",#REF!,A44,#REF!,"Unqualified")</f>
      </c>
      <c r="I44" s="25">
        <f>I43+G44-H44</f>
      </c>
      <c r="J44" s="29">
        <f>IFERROR(H44/G44,"-")</f>
      </c>
      <c r="K44" s="30">
        <f>IFERROR(H44/(G44+I43),"-")</f>
      </c>
      <c r="L44" s="26">
        <f>COUNTIFS(#REF!,"Phương Linh",#REF!,A44)</f>
      </c>
      <c r="M44" s="26">
        <f>COUNTIFS(#REF!,"Phương Linh",#REF!,A44,#REF!,"Qualified")+COUNTIFS(#REF!,"Phương Linh",#REF!,A44,#REF!,"Unqualified")</f>
      </c>
      <c r="N44" s="26">
        <f>N43+L44-M44</f>
      </c>
      <c r="O44" s="31">
        <f>IFERROR(M44/L44,"-")</f>
      </c>
      <c r="P44" s="32">
        <f>IFERROR(M44/(L44+N43),"-")</f>
      </c>
    </row>
  </sheetData>
  <mergeCells>
    <mergeCell ref="B1:F1"/>
    <mergeCell ref="G1:K1"/>
    <mergeCell ref="A1:A2"/>
    <mergeCell ref="L1:P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