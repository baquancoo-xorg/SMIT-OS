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Lead Logs" sheetId="2" r:id="rId5"/>
    <sheet name="Daily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<sst xmlns="http://schemas.openxmlformats.org/spreadsheetml/2006/main" count="1" uniqueCount="1">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</sst>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m/d/yyyy"/>
    <numFmt numFmtId="165" formatCode="0%"/>
    <numFmt numFmtId="166" formatCode="0%"/>
    <numFmt numFmtId="167" formatCode="0%"/>
    <numFmt numFmtId="168" formatCode="yyyy-mm-dd"/>
    <numFmt numFmtId="169" formatCode="0%"/>
    <numFmt numFmtId="170" formatCode="0%"/>
    <numFmt numFmtId="171" formatCode="0%"/>
  </numFmts>
  <fonts count="7">
    <font>
      <sz val="10"/>
      <color theme="1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2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  <fill>
      <patternFill patternType="solid">
        <fgColor rgb="FFFBBFBC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FBBFBC"/>
        <bgColor/>
      </patternFill>
    </fill>
    <fill>
      <patternFill patternType="solid">
        <fgColor rgb="FFFAF1D1"/>
        <bgColor/>
      </patternFill>
    </fill>
    <fill>
      <patternFill patternType="solid">
        <fgColor rgb="FFFBBFBC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FBBFBC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BBFBC"/>
        <bgColor/>
      </patternFill>
    </fill>
  </fills>
  <borders count="29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 wrapText="true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true" applyFont="true" applyNumberFormat="false" applyProtection="false" borderId="6" fillId="2" fontId="3" numFmtId="0" xfId="0">
      <alignment horizontal="center" vertical="center" wrapText="true"/>
    </xf>
    <xf applyAlignment="true" applyBorder="false" applyFill="true" applyFont="true" applyNumberFormat="false" applyProtection="false" borderId="7" fillId="3" fontId="3" numFmtId="0" xfId="0">
      <alignment horizontal="center" vertical="center" wrapText="true"/>
    </xf>
    <xf applyAlignment="true" applyBorder="false" applyFill="true" applyFont="true" applyNumberFormat="false" applyProtection="false" borderId="8" fillId="4" fontId="3" numFmtId="0" xfId="0">
      <alignment horizontal="center" vertical="center" wrapText="true"/>
    </xf>
    <xf applyAlignment="true" applyBorder="false" applyFill="false" applyFont="true" applyNumberFormat="false" applyProtection="false" borderId="9" fillId="0" fontId="3" numFmtId="0" xfId="0">
      <alignment horizontal="center" vertical="center" wrapText="true"/>
    </xf>
    <xf applyAlignment="true" applyBorder="false" applyFill="true" applyFont="true" applyNumberFormat="false" applyProtection="false" borderId="10" fillId="5" fontId="4" numFmtId="0" xfId="0">
      <alignment horizontal="right" vertical="center" wrapText="true"/>
    </xf>
    <xf applyAlignment="true" applyBorder="false" applyFill="true" applyFont="true" applyNumberFormat="false" applyProtection="false" borderId="11" fillId="6" fontId="4" numFmtId="0" xfId="0">
      <alignment horizontal="right" vertical="center" wrapText="true"/>
    </xf>
    <xf applyAlignment="true" applyBorder="false" applyFill="true" applyFont="true" applyNumberFormat="true" applyProtection="false" borderId="12" fillId="7" fontId="5" numFmtId="165" xfId="0">
      <alignment horizontal="right" vertical="center"/>
    </xf>
    <xf applyAlignment="true" applyBorder="false" applyFill="true" applyFont="true" applyNumberFormat="true" applyProtection="false" borderId="13" fillId="8" fontId="4" numFmtId="166" xfId="0">
      <alignment horizontal="right" vertical="center" wrapText="true"/>
    </xf>
    <xf applyAlignment="true" applyBorder="false" applyFill="true" applyFont="true" applyNumberFormat="false" applyProtection="false" borderId="14" fillId="9" fontId="4" numFmtId="0" xfId="0">
      <alignment horizontal="right" vertical="center" wrapText="true"/>
    </xf>
    <xf applyAlignment="true" applyBorder="false" applyFill="true" applyFont="true" applyNumberFormat="true" applyProtection="false" borderId="15" fillId="10" fontId="5" numFmtId="167" xfId="0">
      <alignment horizontal="right" vertical="center"/>
    </xf>
    <xf applyAlignment="true" applyBorder="false" applyFill="false" applyFont="true" applyNumberFormat="true" applyProtection="false" borderId="16" fillId="0" fontId="4" numFmtId="168" xfId="0">
      <alignment vertical="center" wrapText="true"/>
    </xf>
    <xf applyAlignment="true" applyBorder="false" applyFill="true" applyFont="true" applyNumberFormat="true" applyProtection="false" borderId="17" fillId="11" fontId="4" numFmtId="169" xfId="0">
      <alignment horizontal="right" vertical="center" wrapText="true"/>
    </xf>
    <xf applyAlignment="true" applyBorder="false" applyFill="true" applyFont="true" applyNumberFormat="true" applyProtection="false" borderId="18" fillId="12" fontId="5" numFmtId="170" xfId="0">
      <alignment horizontal="right" vertical="center"/>
    </xf>
    <xf applyAlignment="true" applyBorder="false" applyFill="true" applyFont="true" applyNumberFormat="true" applyProtection="false" borderId="19" fillId="13" fontId="4" numFmtId="171" xfId="0">
      <alignment horizontal="right" vertical="center" wrapText="true"/>
    </xf>
    <xf applyAlignment="true" applyBorder="false" applyFill="true" applyFont="true" applyNumberFormat="false" applyProtection="false" borderId="20" fillId="14" fontId="5" numFmtId="0" xfId="0">
      <alignment horizontal="right" vertical="center"/>
    </xf>
    <xf applyAlignment="true" applyBorder="false" applyFill="true" applyFont="true" applyNumberFormat="false" applyProtection="false" borderId="21" fillId="15" fontId="5" numFmtId="0" xfId="0">
      <alignment horizontal="right" vertical="center"/>
    </xf>
    <xf applyAlignment="true" applyBorder="false" applyFill="true" applyFont="true" applyNumberFormat="false" applyProtection="false" borderId="22" fillId="16" fontId="5" numFmtId="0" xfId="0">
      <alignment horizontal="right" vertical="center"/>
    </xf>
    <xf applyAlignment="true" applyBorder="false" applyFill="true" applyFont="true" applyNumberFormat="false" applyProtection="false" borderId="23" fillId="17" fontId="3" numFmtId="0" xfId="0">
      <alignment vertical="center" wrapText="true"/>
    </xf>
    <xf applyAlignment="true" applyBorder="false" applyFill="true" applyFont="true" applyNumberFormat="false" applyProtection="false" borderId="24" fillId="18" fontId="6" numFmtId="0" xfId="0">
      <alignment vertical="center"/>
    </xf>
    <xf applyAlignment="true" applyBorder="false" applyFill="true" applyFont="true" applyNumberFormat="false" applyProtection="false" borderId="25" fillId="19" fontId="3" numFmtId="0" xfId="0">
      <alignment vertical="center" wrapText="true"/>
    </xf>
    <xf applyAlignment="true" applyBorder="false" applyFill="true" applyFont="true" applyNumberFormat="false" applyProtection="false" borderId="26" fillId="20" fontId="3" numFmtId="0" xfId="0">
      <alignment vertical="center" wrapText="true"/>
    </xf>
    <xf applyAlignment="true" applyBorder="false" applyFill="true" applyFont="true" applyNumberFormat="false" applyProtection="false" borderId="27" fillId="21" fontId="6" numFmtId="0" xfId="0">
      <alignment vertical="center"/>
    </xf>
    <xf applyAlignment="true" applyBorder="false" applyFill="true" applyFont="true" applyNumberFormat="false" applyProtection="false" borderId="28" fillId="22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8"/>
    <col collapsed="false" customWidth="true" hidden="false" max="5" min="5" style="0" width="20"/>
    <col collapsed="false" customWidth="true" hidden="false" max="6" min="6" style="0" width="19"/>
    <col collapsed="false" customWidth="true" hidden="false" max="7" min="7" style="0" width="18"/>
    <col collapsed="false" customWidth="true" hidden="false" max="8" min="8" style="0" width="100"/>
  </cols>
  <sheetData>
    <row r="1">
      <c r="A1" s="4" t="str">
        <v>Tên KH</v>
      </c>
      <c r="B1" s="4" t="str">
        <v>AE</v>
      </c>
      <c r="C1" s="4" t="str">
        <v>Ngày nhận</v>
      </c>
      <c r="D1" s="4" t="str">
        <v>Ngày resolve</v>
      </c>
      <c r="E1" s="4" t="str">
        <v>Status</v>
      </c>
      <c r="F1" s="4" t="str">
        <v>Loại Lead</v>
      </c>
      <c r="G1" s="4" t="str">
        <v>Loại Unqualified</v>
      </c>
      <c r="H1" s="4" t="str">
        <v>Ghi chú thêm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2"/>
      <c r="B2" s="2" t="str">
        <v>Kim Huệ</v>
      </c>
      <c r="C2" s="1"/>
      <c r="D2" s="1"/>
      <c r="E2" s="2" t="str">
        <v>Đang liên hệ</v>
      </c>
      <c r="F2" s="2" t="str">
        <v>Việt Nam</v>
      </c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2"/>
      <c r="B3" s="2" t="str">
        <v>Hồng Nhung</v>
      </c>
      <c r="C3" s="1"/>
      <c r="D3" s="2"/>
      <c r="E3" s="2" t="str">
        <v>Đang nuôi dưỡng</v>
      </c>
      <c r="F3" s="2" t="str">
        <v>Quốc Tế</v>
      </c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2"/>
      <c r="B4" s="2" t="str">
        <v>Phương Linh</v>
      </c>
      <c r="C4" s="1"/>
      <c r="D4" s="1"/>
      <c r="E4" s="2" t="str">
        <v>Qualified</v>
      </c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2"/>
      <c r="B5" s="2"/>
      <c r="C5" s="1"/>
      <c r="D5" s="1"/>
      <c r="E5" s="2" t="str">
        <v>Unqualified</v>
      </c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2"/>
      <c r="B6" s="2"/>
      <c r="C6" s="1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2"/>
      <c r="B7" s="2"/>
      <c r="C7" s="1"/>
      <c r="D7" s="1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2"/>
      <c r="B8" s="2"/>
      <c r="C8" s="1"/>
      <c r="D8" s="1"/>
      <c r="E8" s="2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2"/>
      <c r="B9" s="2"/>
      <c r="C9" s="1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2"/>
      <c r="B10" s="2"/>
      <c r="C10" s="1"/>
      <c r="D10" s="1"/>
      <c r="E10" s="2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2"/>
      <c r="B11" s="2"/>
      <c r="C11" s="1"/>
      <c r="D11" s="1"/>
      <c r="E11" s="2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2"/>
      <c r="B12" s="2"/>
      <c r="C12" s="1"/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2"/>
      <c r="B13" s="2"/>
      <c r="C13" s="1"/>
      <c r="D13" s="1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2"/>
      <c r="B14" s="2"/>
      <c r="C14" s="1"/>
      <c r="D14" s="1"/>
      <c r="E14" s="2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2"/>
      <c r="B15" s="2"/>
      <c r="C15" s="1"/>
      <c r="D15" s="2"/>
      <c r="E15" s="2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2"/>
      <c r="B16" s="2"/>
      <c r="C16" s="1"/>
      <c r="D16" s="1"/>
      <c r="E16" s="2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2"/>
      <c r="B17" s="2"/>
      <c r="C17" s="1"/>
      <c r="D17" s="1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2"/>
      <c r="B18" s="2"/>
      <c r="C18" s="1"/>
      <c r="D18" s="2"/>
      <c r="E18" s="2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2"/>
      <c r="B19" s="2"/>
      <c r="C19" s="1"/>
      <c r="D19" s="1"/>
      <c r="E19" s="2"/>
      <c r="F19" s="2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2"/>
      <c r="B20" s="2"/>
      <c r="C20" s="1"/>
      <c r="D20" s="1"/>
      <c r="E20" s="2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2"/>
      <c r="B21" s="2"/>
      <c r="C21" s="1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2"/>
      <c r="B22" s="2"/>
      <c r="C22" s="1"/>
      <c r="D22" s="1"/>
      <c r="E22" s="2"/>
      <c r="F22" s="2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2"/>
      <c r="B23" s="2"/>
      <c r="C23" s="1"/>
      <c r="D23" s="1"/>
      <c r="E23" s="2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2"/>
      <c r="B24" s="2"/>
      <c r="C24" s="1"/>
      <c r="D24" s="2"/>
      <c r="E24" s="2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2"/>
      <c r="B25" s="2"/>
      <c r="C25" s="1"/>
      <c r="D25" s="1"/>
      <c r="E25" s="2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2"/>
      <c r="B26" s="2"/>
      <c r="C26" s="1"/>
      <c r="D26" s="1"/>
      <c r="E26" s="2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2"/>
      <c r="B27" s="2"/>
      <c r="C27" s="1"/>
      <c r="D27" s="2"/>
      <c r="E27" s="2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2"/>
      <c r="B28" s="2"/>
      <c r="C28" s="1"/>
      <c r="D28" s="1"/>
      <c r="E28" s="2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2"/>
      <c r="B29" s="2"/>
      <c r="C29" s="1"/>
      <c r="D29" s="1"/>
      <c r="E29" s="2"/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2"/>
      <c r="B30" s="2"/>
      <c r="C30" s="1"/>
      <c r="D30" s="2"/>
      <c r="E30" s="2"/>
      <c r="F30" s="2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2"/>
      <c r="B31" s="2"/>
      <c r="C31" s="1"/>
      <c r="D31" s="1"/>
      <c r="E31" s="2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2"/>
      <c r="B32" s="2"/>
      <c r="C32" s="1"/>
      <c r="D32" s="1"/>
      <c r="E32" s="2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2"/>
      <c r="B33" s="2"/>
      <c r="C33" s="1"/>
      <c r="D33" s="2"/>
      <c r="E33" s="2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2"/>
      <c r="B34" s="2"/>
      <c r="C34" s="1"/>
      <c r="D34" s="1"/>
      <c r="E34" s="2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2"/>
      <c r="B35" s="2"/>
      <c r="C35" s="1"/>
      <c r="D35" s="1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2"/>
      <c r="B36" s="2"/>
      <c r="C36" s="1"/>
      <c r="D36" s="2"/>
      <c r="E36" s="2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2"/>
      <c r="B37" s="2"/>
      <c r="C37" s="1"/>
      <c r="D37" s="1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2"/>
      <c r="B38" s="2"/>
      <c r="C38" s="1"/>
      <c r="D38" s="1"/>
      <c r="E38" s="2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2"/>
      <c r="B39" s="2"/>
      <c r="C39" s="1"/>
      <c r="D39" s="2"/>
      <c r="E39" s="2"/>
      <c r="F39" s="2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2"/>
      <c r="B40" s="2"/>
      <c r="C40" s="1"/>
      <c r="D40" s="1"/>
      <c r="E40" s="2"/>
      <c r="F40" s="2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2"/>
      <c r="B41" s="2"/>
      <c r="C41" s="1"/>
      <c r="D41" s="1"/>
      <c r="E41" s="2"/>
      <c r="F41" s="2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2"/>
      <c r="B42" s="2"/>
      <c r="C42" s="1"/>
      <c r="D42" s="2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2"/>
      <c r="B43" s="2"/>
      <c r="C43" s="1"/>
      <c r="D43" s="1"/>
      <c r="E43" s="2"/>
      <c r="F43" s="2"/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2"/>
      <c r="B44" s="2"/>
      <c r="C44" s="1"/>
      <c r="D44" s="1"/>
      <c r="E44" s="2"/>
      <c r="F44" s="2"/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2"/>
      <c r="B45" s="2"/>
      <c r="C45" s="1"/>
      <c r="D45" s="2"/>
      <c r="E45" s="2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2"/>
      <c r="B46" s="2"/>
      <c r="C46" s="1"/>
      <c r="D46" s="1"/>
      <c r="E46" s="2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2"/>
      <c r="B47" s="2"/>
      <c r="C47" s="1"/>
      <c r="D47" s="1"/>
      <c r="E47" s="2"/>
      <c r="F47" s="2"/>
      <c r="G47" s="2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2"/>
      <c r="B48" s="2"/>
      <c r="C48" s="1"/>
      <c r="D48" s="2"/>
      <c r="E48" s="2"/>
      <c r="F48" s="2"/>
      <c r="G48" s="2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2"/>
      <c r="B49" s="2"/>
      <c r="C49" s="1"/>
      <c r="D49" s="1"/>
      <c r="E49" s="2"/>
      <c r="F49" s="2"/>
      <c r="G49" s="2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2"/>
      <c r="B50" s="2"/>
      <c r="C50" s="1"/>
      <c r="D50" s="1"/>
      <c r="E50" s="2"/>
      <c r="F50" s="2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dataValidations count="3">
    <dataValidation allowBlank="true" errorStyle="stop" showErrorMessage="true" sqref="E2:E200" type="list">
      <formula1>"Mới,Đang liên hệ,Đang nuôi dưỡng,Qualified,Unqualified"</formula1>
    </dataValidation>
    <dataValidation allowBlank="true" errorStyle="stop" showErrorMessage="true" sqref="B2:B200" type="list">
      <formula1>"Hồng Nhung,Kim Huệ,Phương Linh"</formula1>
    </dataValidation>
    <dataValidation allowBlank="true" errorStyle="stop" showErrorMessage="true" sqref="F2:F200" type="list">
      <formula1>"Việt Nam,Quốc Tế"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6"/>
    <col collapsed="false" customWidth="true" hidden="false" max="3" min="3" style="0" width="5"/>
    <col collapsed="false" customWidth="true" hidden="false" max="4" min="4" style="0" width="13"/>
    <col collapsed="false" customWidth="true" hidden="false" max="5" min="5" style="0" width="19"/>
    <col collapsed="false" customWidth="true" hidden="false" max="6" min="6" style="0" width="18"/>
    <col collapsed="false" customWidth="true" hidden="false" max="7" min="7" style="0" width="6"/>
    <col collapsed="false" customWidth="true" hidden="false" max="8" min="8" style="0" width="5"/>
    <col collapsed="false" customWidth="true" hidden="false" max="9" min="9" style="0" width="13"/>
    <col collapsed="false" customWidth="true" hidden="false" max="10" min="10" style="0" width="19"/>
    <col collapsed="false" customWidth="true" hidden="false" max="11" min="11" style="0" width="18"/>
    <col collapsed="false" customWidth="true" hidden="false" max="12" min="12" style="0" width="6"/>
    <col collapsed="false" customWidth="true" hidden="false" max="13" min="13" style="0" width="5"/>
    <col collapsed="false" customWidth="true" hidden="false" max="14" min="14" style="0" width="13"/>
    <col collapsed="false" customWidth="true" hidden="false" max="15" min="15" style="0" width="19"/>
    <col collapsed="false" customWidth="true" hidden="false" max="16" min="16" style="0" width="18"/>
  </cols>
  <sheetData>
    <row customHeight="true" ht="19" r="1">
      <c r="A1" s="9" t="str">
        <v>Ngày</v>
      </c>
      <c r="B1" s="6" t="str">
        <v>AE Hồng Nhung</v>
      </c>
      <c r="C1" s="6"/>
      <c r="D1" s="6"/>
      <c r="E1" s="6"/>
      <c r="F1" s="6"/>
      <c r="G1" s="7" t="str">
        <v>AE Kim Huệ</v>
      </c>
      <c r="H1" s="7"/>
      <c r="I1" s="7"/>
      <c r="J1" s="7"/>
      <c r="K1" s="7"/>
      <c r="L1" s="8" t="str">
        <v>AE Phương Linh</v>
      </c>
      <c r="M1" s="8"/>
      <c r="N1" s="8"/>
      <c r="O1" s="8"/>
      <c r="P1" s="8"/>
    </row>
    <row customHeight="true" ht="19" r="2">
      <c r="A2" s="9"/>
      <c r="B2" s="23" t="str">
        <v>Thêm</v>
      </c>
      <c r="C2" s="23" t="str">
        <v>Xử lý</v>
      </c>
      <c r="D2" s="23" t="str">
        <v>Tồn cuối ngày</v>
      </c>
      <c r="E2" s="23" t="str">
        <v>Tỷ lệ xử lý trong ngày</v>
      </c>
      <c r="F2" s="24" t="str">
        <v>Tỷ lệ xử lý trên tổng</v>
      </c>
      <c r="G2" s="25" t="str">
        <v>Thêm</v>
      </c>
      <c r="H2" s="25" t="str">
        <v>Xử lý</v>
      </c>
      <c r="I2" s="25" t="str">
        <v>Tồn cuối ngày</v>
      </c>
      <c r="J2" s="25" t="str">
        <v>Tỷ lệ xử lý trong ngày</v>
      </c>
      <c r="K2" s="28" t="str">
        <v>Tỷ lệ xử lý trên tổng</v>
      </c>
      <c r="L2" s="26" t="str">
        <v>Thêm</v>
      </c>
      <c r="M2" s="26" t="str">
        <v>Xử lý</v>
      </c>
      <c r="N2" s="26" t="str">
        <v>Tồn cuối ngày</v>
      </c>
      <c r="O2" s="26" t="str">
        <v>Tỷ lệ xử lý trong ngày</v>
      </c>
      <c r="P2" s="27" t="str">
        <v>Tỷ lệ xử lý trên tổng</v>
      </c>
    </row>
    <row customHeight="true" ht="19" r="3">
      <c r="A3" s="16">
        <v>46131</v>
      </c>
      <c r="B3" s="10"/>
      <c r="C3" s="10"/>
      <c r="D3" s="10">
        <v>0</v>
      </c>
      <c r="E3" s="10"/>
      <c r="F3" s="22"/>
      <c r="G3" s="11"/>
      <c r="H3" s="11"/>
      <c r="I3" s="11">
        <v>0</v>
      </c>
      <c r="J3" s="11"/>
      <c r="K3" s="21"/>
      <c r="L3" s="14"/>
      <c r="M3" s="14"/>
      <c r="N3" s="14">
        <v>0</v>
      </c>
      <c r="O3" s="14"/>
      <c r="P3" s="20"/>
    </row>
    <row r="4">
      <c r="A4" s="16">
        <v>46132</v>
      </c>
      <c r="B4" s="10">
        <f>COUNTIFS('Lead Logs'!B:B,"Hồng Nhung",'Lead Logs'!C:C,A4)</f>
      </c>
      <c r="C4" s="10">
        <f>COUNTIFS('Lead Logs'!B:B,"Hồng Nhung",'Lead Logs'!D:D,A4,'Lead Logs'!E:E,"Qualified")+COUNTIFS('Lead Logs'!B:B,"Hồng Nhung",'Lead Logs'!D:D,A4,'Lead Logs'!E:E,"Unqualified")</f>
      </c>
      <c r="D4" s="10">
        <f>D3+B4-C4</f>
      </c>
      <c r="E4" s="17">
        <f>IFERROR(C4/B4,"-")</f>
      </c>
      <c r="F4" s="18">
        <f>IFERROR(C4/(B4+D3),"-")</f>
      </c>
      <c r="G4" s="11">
        <f>COUNTIFS('Lead Logs'!I:I,"Kim Huệ",'Lead Logs'!J:J,A4)</f>
      </c>
      <c r="H4" s="11">
        <f>COUNTIFS('Lead Logs'!I:I,"Kim Huệ",'Lead Logs'!K:K,A4,'Lead Logs'!L:L,"Qualified")+COUNTIFS('Lead Logs'!I:I,"Kim Huệ",'Lead Logs'!K:K,A4,'Lead Logs'!L:L,"Unqualified")</f>
      </c>
      <c r="I4" s="11">
        <f>I3+G4-H4</f>
      </c>
      <c r="J4" s="19">
        <f>IFERROR(H4/G4,"-")</f>
      </c>
      <c r="K4" s="12">
        <f>IFERROR(H4/(G4+I3),"-")</f>
      </c>
      <c r="L4" s="14">
        <f>COUNTIFS('Lead Logs'!N:N,"Phương Linh",'Lead Logs'!O:O,A4)</f>
      </c>
      <c r="M4" s="14">
        <f>COUNTIFS('Lead Logs'!N:N,"Phương Linh",'Lead Logs'!P:P,A4,'Lead Logs'!Q:Q,"Qualified")+COUNTIFS('Lead Logs'!N:N,"Phương Linh",'Lead Logs'!P:P,A4,'Lead Logs'!Q:Q,"Unqualified")</f>
      </c>
      <c r="N4" s="14">
        <f>N3+L4-M4</f>
      </c>
      <c r="O4" s="13">
        <f>IFERROR(M4/L4,"-")</f>
      </c>
      <c r="P4" s="15">
        <f>IFERROR(M4/(L4+N3),"-")</f>
      </c>
    </row>
    <row r="5">
      <c r="A5" s="16">
        <v>46133</v>
      </c>
      <c r="B5" s="10">
        <f>COUNTIFS('Lead Logs'!B:B,"Hồng Nhung",'Lead Logs'!C:C,A5)</f>
      </c>
      <c r="C5" s="10">
        <f>COUNTIFS('Lead Logs'!B:B,"Hồng Nhung",'Lead Logs'!D:D,A5,'Lead Logs'!E:E,"Qualified")+COUNTIFS('Lead Logs'!B:B,"Hồng Nhung",'Lead Logs'!D:D,A5,'Lead Logs'!E:E,"Unqualified")</f>
      </c>
      <c r="D5" s="10">
        <f>D4+B5-C5</f>
      </c>
      <c r="E5" s="17">
        <f>IFERROR(C5/B5,"-")</f>
      </c>
      <c r="F5" s="18">
        <f>IFERROR(C5/(B5+D4),"-")</f>
      </c>
      <c r="G5" s="11">
        <f>COUNTIFS('Lead Logs'!I:I,"Kim Huệ",'Lead Logs'!J:J,A5)</f>
      </c>
      <c r="H5" s="11">
        <f>COUNTIFS('Lead Logs'!I:I,"Kim Huệ",'Lead Logs'!K:K,A5,'Lead Logs'!L:L,"Qualified")+COUNTIFS('Lead Logs'!I:I,"Kim Huệ",'Lead Logs'!K:K,A5,'Lead Logs'!L:L,"Unqualified")</f>
      </c>
      <c r="I5" s="11">
        <f>I4+G5-H5</f>
      </c>
      <c r="J5" s="19">
        <f>IFERROR(H5/G5,"-")</f>
      </c>
      <c r="K5" s="12">
        <f>IFERROR(H5/(G5+I4),"-")</f>
      </c>
      <c r="L5" s="14">
        <f>COUNTIFS('Lead Logs'!N:N,"Phương Linh",'Lead Logs'!O:O,A5)</f>
      </c>
      <c r="M5" s="14">
        <f>COUNTIFS('Lead Logs'!N:N,"Phương Linh",'Lead Logs'!P:P,A5,'Lead Logs'!Q:Q,"Qualified")+COUNTIFS('Lead Logs'!N:N,"Phương Linh",'Lead Logs'!P:P,A5,'Lead Logs'!Q:Q,"Unqualified")</f>
      </c>
      <c r="N5" s="14">
        <f>N4+L5-M5</f>
      </c>
      <c r="O5" s="13">
        <f>IFERROR(M5/L5,"-")</f>
      </c>
      <c r="P5" s="15">
        <f>IFERROR(M5/(L5+N4),"-")</f>
      </c>
    </row>
    <row r="6">
      <c r="A6" s="16">
        <v>46134</v>
      </c>
      <c r="B6" s="10">
        <f>COUNTIFS('Lead Logs'!B:B,"Hồng Nhung",'Lead Logs'!C:C,A6)</f>
      </c>
      <c r="C6" s="10">
        <f>COUNTIFS('Lead Logs'!B:B,"Hồng Nhung",'Lead Logs'!D:D,A6,'Lead Logs'!E:E,"Qualified")+COUNTIFS('Lead Logs'!B:B,"Hồng Nhung",'Lead Logs'!D:D,A6,'Lead Logs'!E:E,"Unqualified")</f>
      </c>
      <c r="D6" s="10">
        <f>D5+B6-C6</f>
      </c>
      <c r="E6" s="17">
        <f>IFERROR(C6/B6,"-")</f>
      </c>
      <c r="F6" s="18">
        <f>IFERROR(C6/(B6+D5),"-")</f>
      </c>
      <c r="G6" s="11">
        <f>COUNTIFS('Lead Logs'!I:I,"Kim Huệ",'Lead Logs'!J:J,A6)</f>
      </c>
      <c r="H6" s="11">
        <f>COUNTIFS('Lead Logs'!I:I,"Kim Huệ",'Lead Logs'!K:K,A6,'Lead Logs'!L:L,"Qualified")+COUNTIFS('Lead Logs'!I:I,"Kim Huệ",'Lead Logs'!K:K,A6,'Lead Logs'!L:L,"Unqualified")</f>
      </c>
      <c r="I6" s="11">
        <f>I5+G6-H6</f>
      </c>
      <c r="J6" s="19">
        <f>IFERROR(H6/G6,"-")</f>
      </c>
      <c r="K6" s="12">
        <f>IFERROR(H6/(G6+I5),"-")</f>
      </c>
      <c r="L6" s="14">
        <f>COUNTIFS('Lead Logs'!N:N,"Phương Linh",'Lead Logs'!O:O,A6)</f>
      </c>
      <c r="M6" s="14">
        <f>COUNTIFS('Lead Logs'!N:N,"Phương Linh",'Lead Logs'!P:P,A6,'Lead Logs'!Q:Q,"Qualified")+COUNTIFS('Lead Logs'!N:N,"Phương Linh",'Lead Logs'!P:P,A6,'Lead Logs'!Q:Q,"Unqualified")</f>
      </c>
      <c r="N6" s="14">
        <f>N5+L6-M6</f>
      </c>
      <c r="O6" s="13">
        <f>IFERROR(M6/L6,"-")</f>
      </c>
      <c r="P6" s="15">
        <f>IFERROR(M6/(L6+N5),"-")</f>
      </c>
    </row>
    <row r="7">
      <c r="A7" s="16">
        <v>46135</v>
      </c>
      <c r="B7" s="10">
        <f>COUNTIFS('Lead Logs'!B:B,"Hồng Nhung",'Lead Logs'!C:C,A7)</f>
      </c>
      <c r="C7" s="10">
        <f>COUNTIFS('Lead Logs'!B:B,"Hồng Nhung",'Lead Logs'!D:D,A7,'Lead Logs'!E:E,"Qualified")+COUNTIFS('Lead Logs'!B:B,"Hồng Nhung",'Lead Logs'!D:D,A7,'Lead Logs'!E:E,"Unqualified")</f>
      </c>
      <c r="D7" s="10">
        <f>D6+B7-C7</f>
      </c>
      <c r="E7" s="17">
        <f>IFERROR(C7/B7,"-")</f>
      </c>
      <c r="F7" s="18">
        <f>IFERROR(C7/(B7+D6),"-")</f>
      </c>
      <c r="G7" s="11">
        <f>COUNTIFS('Lead Logs'!I:I,"Kim Huệ",'Lead Logs'!J:J,A7)</f>
      </c>
      <c r="H7" s="11">
        <f>COUNTIFS('Lead Logs'!I:I,"Kim Huệ",'Lead Logs'!K:K,A7,'Lead Logs'!L:L,"Qualified")+COUNTIFS('Lead Logs'!I:I,"Kim Huệ",'Lead Logs'!K:K,A7,'Lead Logs'!L:L,"Unqualified")</f>
      </c>
      <c r="I7" s="11">
        <f>I6+G7-H7</f>
      </c>
      <c r="J7" s="19">
        <f>IFERROR(H7/G7,"-")</f>
      </c>
      <c r="K7" s="12">
        <f>IFERROR(H7/(G7+I6),"-")</f>
      </c>
      <c r="L7" s="14">
        <f>COUNTIFS('Lead Logs'!N:N,"Phương Linh",'Lead Logs'!O:O,A7)</f>
      </c>
      <c r="M7" s="14">
        <f>COUNTIFS('Lead Logs'!N:N,"Phương Linh",'Lead Logs'!P:P,A7,'Lead Logs'!Q:Q,"Qualified")+COUNTIFS('Lead Logs'!N:N,"Phương Linh",'Lead Logs'!P:P,A7,'Lead Logs'!Q:Q,"Unqualified")</f>
      </c>
      <c r="N7" s="14">
        <f>N6+L7-M7</f>
      </c>
      <c r="O7" s="13">
        <f>IFERROR(M7/L7,"-")</f>
      </c>
      <c r="P7" s="15">
        <f>IFERROR(M7/(L7+N6),"-")</f>
      </c>
    </row>
    <row r="8">
      <c r="A8" s="16">
        <v>46136</v>
      </c>
      <c r="B8" s="10">
        <f>COUNTIFS('Lead Logs'!B:B,"Hồng Nhung",'Lead Logs'!C:C,A8)</f>
      </c>
      <c r="C8" s="10">
        <f>COUNTIFS('Lead Logs'!B:B,"Hồng Nhung",'Lead Logs'!D:D,A8,'Lead Logs'!E:E,"Qualified")+COUNTIFS('Lead Logs'!B:B,"Hồng Nhung",'Lead Logs'!D:D,A8,'Lead Logs'!E:E,"Unqualified")</f>
      </c>
      <c r="D8" s="10">
        <f>D7+B8-C8</f>
      </c>
      <c r="E8" s="17">
        <f>IFERROR(C8/B8,"-")</f>
      </c>
      <c r="F8" s="18">
        <f>IFERROR(C8/(B8+D7),"-")</f>
      </c>
      <c r="G8" s="11">
        <f>COUNTIFS('Lead Logs'!I:I,"Kim Huệ",'Lead Logs'!J:J,A8)</f>
      </c>
      <c r="H8" s="11">
        <f>COUNTIFS('Lead Logs'!I:I,"Kim Huệ",'Lead Logs'!K:K,A8,'Lead Logs'!L:L,"Qualified")+COUNTIFS('Lead Logs'!I:I,"Kim Huệ",'Lead Logs'!K:K,A8,'Lead Logs'!L:L,"Unqualified")</f>
      </c>
      <c r="I8" s="11">
        <f>I7+G8-H8</f>
      </c>
      <c r="J8" s="19">
        <f>IFERROR(H8/G8,"-")</f>
      </c>
      <c r="K8" s="12">
        <f>IFERROR(H8/(G8+I7),"-")</f>
      </c>
      <c r="L8" s="14">
        <f>COUNTIFS('Lead Logs'!N:N,"Phương Linh",'Lead Logs'!O:O,A8)</f>
      </c>
      <c r="M8" s="14">
        <f>COUNTIFS('Lead Logs'!N:N,"Phương Linh",'Lead Logs'!P:P,A8,'Lead Logs'!Q:Q,"Qualified")+COUNTIFS('Lead Logs'!N:N,"Phương Linh",'Lead Logs'!P:P,A8,'Lead Logs'!Q:Q,"Unqualified")</f>
      </c>
      <c r="N8" s="14">
        <f>N7+L8-M8</f>
      </c>
      <c r="O8" s="13">
        <f>IFERROR(M8/L8,"-")</f>
      </c>
      <c r="P8" s="15">
        <f>IFERROR(M8/(L8+N7),"-")</f>
      </c>
    </row>
    <row r="9">
      <c r="A9" s="16">
        <v>46137</v>
      </c>
      <c r="B9" s="10">
        <f>COUNTIFS('Lead Logs'!B:B,"Hồng Nhung",'Lead Logs'!C:C,A9)</f>
      </c>
      <c r="C9" s="10">
        <f>COUNTIFS('Lead Logs'!B:B,"Hồng Nhung",'Lead Logs'!D:D,A9,'Lead Logs'!E:E,"Qualified")+COUNTIFS('Lead Logs'!B:B,"Hồng Nhung",'Lead Logs'!D:D,A9,'Lead Logs'!E:E,"Unqualified")</f>
      </c>
      <c r="D9" s="10">
        <f>D8+B9-C9</f>
      </c>
      <c r="E9" s="17">
        <f>IFERROR(C9/B9,"-")</f>
      </c>
      <c r="F9" s="18">
        <f>IFERROR(C9/(B9+D8),"-")</f>
      </c>
      <c r="G9" s="11">
        <f>COUNTIFS('Lead Logs'!I:I,"Kim Huệ",'Lead Logs'!J:J,A9)</f>
      </c>
      <c r="H9" s="11">
        <f>COUNTIFS('Lead Logs'!I:I,"Kim Huệ",'Lead Logs'!K:K,A9,'Lead Logs'!L:L,"Qualified")+COUNTIFS('Lead Logs'!I:I,"Kim Huệ",'Lead Logs'!K:K,A9,'Lead Logs'!L:L,"Unqualified")</f>
      </c>
      <c r="I9" s="11">
        <f>I8+G9-H9</f>
      </c>
      <c r="J9" s="19">
        <f>IFERROR(H9/G9,"-")</f>
      </c>
      <c r="K9" s="12">
        <f>IFERROR(H9/(G9+I8),"-")</f>
      </c>
      <c r="L9" s="14">
        <f>COUNTIFS('Lead Logs'!N:N,"Phương Linh",'Lead Logs'!O:O,A9)</f>
      </c>
      <c r="M9" s="14">
        <f>COUNTIFS('Lead Logs'!N:N,"Phương Linh",'Lead Logs'!P:P,A9,'Lead Logs'!Q:Q,"Qualified")+COUNTIFS('Lead Logs'!N:N,"Phương Linh",'Lead Logs'!P:P,A9,'Lead Logs'!Q:Q,"Unqualified")</f>
      </c>
      <c r="N9" s="14">
        <f>N8+L9-M9</f>
      </c>
      <c r="O9" s="13">
        <f>IFERROR(M9/L9,"-")</f>
      </c>
      <c r="P9" s="15">
        <f>IFERROR(M9/(L9+N8),"-")</f>
      </c>
    </row>
    <row r="10">
      <c r="A10" s="16">
        <v>46138</v>
      </c>
      <c r="B10" s="10">
        <f>COUNTIFS('Lead Logs'!B:B,"Hồng Nhung",'Lead Logs'!C:C,A10)</f>
      </c>
      <c r="C10" s="10">
        <f>COUNTIFS('Lead Logs'!B:B,"Hồng Nhung",'Lead Logs'!D:D,A10,'Lead Logs'!E:E,"Qualified")+COUNTIFS('Lead Logs'!B:B,"Hồng Nhung",'Lead Logs'!D:D,A10,'Lead Logs'!E:E,"Unqualified")</f>
      </c>
      <c r="D10" s="10">
        <f>D9+B10-C10</f>
      </c>
      <c r="E10" s="17">
        <f>IFERROR(C10/B10,"-")</f>
      </c>
      <c r="F10" s="18">
        <f>IFERROR(C10/(B10+D9),"-")</f>
      </c>
      <c r="G10" s="11">
        <f>COUNTIFS('Lead Logs'!I:I,"Kim Huệ",'Lead Logs'!J:J,A10)</f>
      </c>
      <c r="H10" s="11">
        <f>COUNTIFS('Lead Logs'!I:I,"Kim Huệ",'Lead Logs'!K:K,A10,'Lead Logs'!L:L,"Qualified")+COUNTIFS('Lead Logs'!I:I,"Kim Huệ",'Lead Logs'!K:K,A10,'Lead Logs'!L:L,"Unqualified")</f>
      </c>
      <c r="I10" s="11">
        <f>I9+G10-H10</f>
      </c>
      <c r="J10" s="19">
        <f>IFERROR(H10/G10,"-")</f>
      </c>
      <c r="K10" s="12">
        <f>IFERROR(H10/(G10+I9),"-")</f>
      </c>
      <c r="L10" s="14">
        <f>COUNTIFS('Lead Logs'!N:N,"Phương Linh",'Lead Logs'!O:O,A10)</f>
      </c>
      <c r="M10" s="14">
        <f>COUNTIFS('Lead Logs'!N:N,"Phương Linh",'Lead Logs'!P:P,A10,'Lead Logs'!Q:Q,"Qualified")+COUNTIFS('Lead Logs'!N:N,"Phương Linh",'Lead Logs'!P:P,A10,'Lead Logs'!Q:Q,"Unqualified")</f>
      </c>
      <c r="N10" s="14">
        <f>N9+L10-M10</f>
      </c>
      <c r="O10" s="13">
        <f>IFERROR(M10/L10,"-")</f>
      </c>
      <c r="P10" s="15">
        <f>IFERROR(M10/(L10+N9),"-")</f>
      </c>
    </row>
    <row r="11">
      <c r="A11" s="16">
        <v>46139</v>
      </c>
      <c r="B11" s="10">
        <f>COUNTIFS('Lead Logs'!B:B,"Hồng Nhung",'Lead Logs'!C:C,A11)</f>
      </c>
      <c r="C11" s="10">
        <f>COUNTIFS('Lead Logs'!B:B,"Hồng Nhung",'Lead Logs'!D:D,A11,'Lead Logs'!E:E,"Qualified")+COUNTIFS('Lead Logs'!B:B,"Hồng Nhung",'Lead Logs'!D:D,A11,'Lead Logs'!E:E,"Unqualified")</f>
      </c>
      <c r="D11" s="10">
        <f>D10+B11-C11</f>
      </c>
      <c r="E11" s="17">
        <f>IFERROR(C11/B11,"-")</f>
      </c>
      <c r="F11" s="18">
        <f>IFERROR(C11/(B11+D10),"-")</f>
      </c>
      <c r="G11" s="11">
        <f>COUNTIFS('Lead Logs'!I:I,"Kim Huệ",'Lead Logs'!J:J,A11)</f>
      </c>
      <c r="H11" s="11">
        <f>COUNTIFS('Lead Logs'!I:I,"Kim Huệ",'Lead Logs'!K:K,A11,'Lead Logs'!L:L,"Qualified")+COUNTIFS('Lead Logs'!I:I,"Kim Huệ",'Lead Logs'!K:K,A11,'Lead Logs'!L:L,"Unqualified")</f>
      </c>
      <c r="I11" s="11">
        <f>I10+G11-H11</f>
      </c>
      <c r="J11" s="19">
        <f>IFERROR(H11/G11,"-")</f>
      </c>
      <c r="K11" s="12">
        <f>IFERROR(H11/(G11+I10),"-")</f>
      </c>
      <c r="L11" s="14">
        <f>COUNTIFS('Lead Logs'!N:N,"Phương Linh",'Lead Logs'!O:O,A11)</f>
      </c>
      <c r="M11" s="14">
        <f>COUNTIFS('Lead Logs'!N:N,"Phương Linh",'Lead Logs'!P:P,A11,'Lead Logs'!Q:Q,"Qualified")+COUNTIFS('Lead Logs'!N:N,"Phương Linh",'Lead Logs'!P:P,A11,'Lead Logs'!Q:Q,"Unqualified")</f>
      </c>
      <c r="N11" s="14">
        <f>N10+L11-M11</f>
      </c>
      <c r="O11" s="13">
        <f>IFERROR(M11/L11,"-")</f>
      </c>
      <c r="P11" s="15">
        <f>IFERROR(M11/(L11+N10),"-")</f>
      </c>
    </row>
    <row r="12">
      <c r="A12" s="16">
        <v>46140</v>
      </c>
      <c r="B12" s="10">
        <f>COUNTIFS('Lead Logs'!B:B,"Hồng Nhung",'Lead Logs'!C:C,A12)</f>
      </c>
      <c r="C12" s="10">
        <f>COUNTIFS('Lead Logs'!B:B,"Hồng Nhung",'Lead Logs'!D:D,A12,'Lead Logs'!E:E,"Qualified")+COUNTIFS('Lead Logs'!B:B,"Hồng Nhung",'Lead Logs'!D:D,A12,'Lead Logs'!E:E,"Unqualified")</f>
      </c>
      <c r="D12" s="10">
        <f>D11+B12-C12</f>
      </c>
      <c r="E12" s="17">
        <f>IFERROR(C12/B12,"-")</f>
      </c>
      <c r="F12" s="18">
        <f>IFERROR(C12/(B12+D11),"-")</f>
      </c>
      <c r="G12" s="11">
        <f>COUNTIFS('Lead Logs'!I:I,"Kim Huệ",'Lead Logs'!J:J,A12)</f>
      </c>
      <c r="H12" s="11">
        <f>COUNTIFS('Lead Logs'!I:I,"Kim Huệ",'Lead Logs'!K:K,A12,'Lead Logs'!L:L,"Qualified")+COUNTIFS('Lead Logs'!I:I,"Kim Huệ",'Lead Logs'!K:K,A12,'Lead Logs'!L:L,"Unqualified")</f>
      </c>
      <c r="I12" s="11">
        <f>I11+G12-H12</f>
      </c>
      <c r="J12" s="19">
        <f>IFERROR(H12/G12,"-")</f>
      </c>
      <c r="K12" s="12">
        <f>IFERROR(H12/(G12+I11),"-")</f>
      </c>
      <c r="L12" s="14">
        <f>COUNTIFS('Lead Logs'!N:N,"Phương Linh",'Lead Logs'!O:O,A12)</f>
      </c>
      <c r="M12" s="14">
        <f>COUNTIFS('Lead Logs'!N:N,"Phương Linh",'Lead Logs'!P:P,A12,'Lead Logs'!Q:Q,"Qualified")+COUNTIFS('Lead Logs'!N:N,"Phương Linh",'Lead Logs'!P:P,A12,'Lead Logs'!Q:Q,"Unqualified")</f>
      </c>
      <c r="N12" s="14">
        <f>N11+L12-M12</f>
      </c>
      <c r="O12" s="13">
        <f>IFERROR(M12/L12,"-")</f>
      </c>
      <c r="P12" s="15">
        <f>IFERROR(M12/(L12+N11),"-")</f>
      </c>
    </row>
    <row r="13">
      <c r="A13" s="16">
        <v>46141</v>
      </c>
      <c r="B13" s="10">
        <f>COUNTIFS('Lead Logs'!B:B,"Hồng Nhung",'Lead Logs'!C:C,A13)</f>
      </c>
      <c r="C13" s="10">
        <f>COUNTIFS('Lead Logs'!B:B,"Hồng Nhung",'Lead Logs'!D:D,A13,'Lead Logs'!E:E,"Qualified")+COUNTIFS('Lead Logs'!B:B,"Hồng Nhung",'Lead Logs'!D:D,A13,'Lead Logs'!E:E,"Unqualified")</f>
      </c>
      <c r="D13" s="10">
        <f>D12+B13-C13</f>
      </c>
      <c r="E13" s="17">
        <f>IFERROR(C13/B13,"-")</f>
      </c>
      <c r="F13" s="18">
        <f>IFERROR(C13/(B13+D12),"-")</f>
      </c>
      <c r="G13" s="11">
        <f>COUNTIFS('Lead Logs'!I:I,"Kim Huệ",'Lead Logs'!J:J,A13)</f>
      </c>
      <c r="H13" s="11">
        <f>COUNTIFS('Lead Logs'!I:I,"Kim Huệ",'Lead Logs'!K:K,A13,'Lead Logs'!L:L,"Qualified")+COUNTIFS('Lead Logs'!I:I,"Kim Huệ",'Lead Logs'!K:K,A13,'Lead Logs'!L:L,"Unqualified")</f>
      </c>
      <c r="I13" s="11">
        <f>I12+G13-H13</f>
      </c>
      <c r="J13" s="19">
        <f>IFERROR(H13/G13,"-")</f>
      </c>
      <c r="K13" s="12">
        <f>IFERROR(H13/(G13+I12),"-")</f>
      </c>
      <c r="L13" s="14">
        <f>COUNTIFS('Lead Logs'!N:N,"Phương Linh",'Lead Logs'!O:O,A13)</f>
      </c>
      <c r="M13" s="14">
        <f>COUNTIFS('Lead Logs'!N:N,"Phương Linh",'Lead Logs'!P:P,A13,'Lead Logs'!Q:Q,"Qualified")+COUNTIFS('Lead Logs'!N:N,"Phương Linh",'Lead Logs'!P:P,A13,'Lead Logs'!Q:Q,"Unqualified")</f>
      </c>
      <c r="N13" s="14">
        <f>N12+L13-M13</f>
      </c>
      <c r="O13" s="13">
        <f>IFERROR(M13/L13,"-")</f>
      </c>
      <c r="P13" s="15">
        <f>IFERROR(M13/(L13+N12),"-")</f>
      </c>
    </row>
    <row r="14">
      <c r="A14" s="16">
        <v>46142</v>
      </c>
      <c r="B14" s="10">
        <f>COUNTIFS('Lead Logs'!B:B,"Hồng Nhung",'Lead Logs'!C:C,A14)</f>
      </c>
      <c r="C14" s="10">
        <f>COUNTIFS('Lead Logs'!B:B,"Hồng Nhung",'Lead Logs'!D:D,A14,'Lead Logs'!E:E,"Qualified")+COUNTIFS('Lead Logs'!B:B,"Hồng Nhung",'Lead Logs'!D:D,A14,'Lead Logs'!E:E,"Unqualified")</f>
      </c>
      <c r="D14" s="10">
        <f>D13+B14-C14</f>
      </c>
      <c r="E14" s="17">
        <f>IFERROR(C14/B14,"-")</f>
      </c>
      <c r="F14" s="18">
        <f>IFERROR(C14/(B14+D13),"-")</f>
      </c>
      <c r="G14" s="11">
        <f>COUNTIFS('Lead Logs'!I:I,"Kim Huệ",'Lead Logs'!J:J,A14)</f>
      </c>
      <c r="H14" s="11">
        <f>COUNTIFS('Lead Logs'!I:I,"Kim Huệ",'Lead Logs'!K:K,A14,'Lead Logs'!L:L,"Qualified")+COUNTIFS('Lead Logs'!I:I,"Kim Huệ",'Lead Logs'!K:K,A14,'Lead Logs'!L:L,"Unqualified")</f>
      </c>
      <c r="I14" s="11">
        <f>I13+G14-H14</f>
      </c>
      <c r="J14" s="19">
        <f>IFERROR(H14/G14,"-")</f>
      </c>
      <c r="K14" s="12">
        <f>IFERROR(H14/(G14+I13),"-")</f>
      </c>
      <c r="L14" s="14">
        <f>COUNTIFS('Lead Logs'!N:N,"Phương Linh",'Lead Logs'!O:O,A14)</f>
      </c>
      <c r="M14" s="14">
        <f>COUNTIFS('Lead Logs'!N:N,"Phương Linh",'Lead Logs'!P:P,A14,'Lead Logs'!Q:Q,"Qualified")+COUNTIFS('Lead Logs'!N:N,"Phương Linh",'Lead Logs'!P:P,A14,'Lead Logs'!Q:Q,"Unqualified")</f>
      </c>
      <c r="N14" s="14">
        <f>N13+L14-M14</f>
      </c>
      <c r="O14" s="13">
        <f>IFERROR(M14/L14,"-")</f>
      </c>
      <c r="P14" s="15">
        <f>IFERROR(M14/(L14+N13),"-")</f>
      </c>
    </row>
    <row r="15">
      <c r="A15" s="16">
        <v>46143</v>
      </c>
      <c r="B15" s="10">
        <f>COUNTIFS('Lead Logs'!B:B,"Hồng Nhung",'Lead Logs'!C:C,A15)</f>
      </c>
      <c r="C15" s="10">
        <f>COUNTIFS('Lead Logs'!B:B,"Hồng Nhung",'Lead Logs'!D:D,A15,'Lead Logs'!E:E,"Qualified")+COUNTIFS('Lead Logs'!B:B,"Hồng Nhung",'Lead Logs'!D:D,A15,'Lead Logs'!E:E,"Unqualified")</f>
      </c>
      <c r="D15" s="10">
        <f>D14+B15-C15</f>
      </c>
      <c r="E15" s="17">
        <f>IFERROR(C15/B15,"-")</f>
      </c>
      <c r="F15" s="18">
        <f>IFERROR(C15/(B15+D14),"-")</f>
      </c>
      <c r="G15" s="11">
        <f>COUNTIFS('Lead Logs'!I:I,"Kim Huệ",'Lead Logs'!J:J,A15)</f>
      </c>
      <c r="H15" s="11">
        <f>COUNTIFS('Lead Logs'!I:I,"Kim Huệ",'Lead Logs'!K:K,A15,'Lead Logs'!L:L,"Qualified")+COUNTIFS('Lead Logs'!I:I,"Kim Huệ",'Lead Logs'!K:K,A15,'Lead Logs'!L:L,"Unqualified")</f>
      </c>
      <c r="I15" s="11">
        <f>I14+G15-H15</f>
      </c>
      <c r="J15" s="19">
        <f>IFERROR(H15/G15,"-")</f>
      </c>
      <c r="K15" s="12">
        <f>IFERROR(H15/(G15+I14),"-")</f>
      </c>
      <c r="L15" s="14">
        <f>COUNTIFS('Lead Logs'!N:N,"Phương Linh",'Lead Logs'!O:O,A15)</f>
      </c>
      <c r="M15" s="14">
        <f>COUNTIFS('Lead Logs'!N:N,"Phương Linh",'Lead Logs'!P:P,A15,'Lead Logs'!Q:Q,"Qualified")+COUNTIFS('Lead Logs'!N:N,"Phương Linh",'Lead Logs'!P:P,A15,'Lead Logs'!Q:Q,"Unqualified")</f>
      </c>
      <c r="N15" s="14">
        <f>N14+L15-M15</f>
      </c>
      <c r="O15" s="13">
        <f>IFERROR(M15/L15,"-")</f>
      </c>
      <c r="P15" s="15">
        <f>IFERROR(M15/(L15+N14),"-")</f>
      </c>
    </row>
    <row r="16">
      <c r="A16" s="16">
        <v>46144</v>
      </c>
      <c r="B16" s="10">
        <f>COUNTIFS('Lead Logs'!B:B,"Hồng Nhung",'Lead Logs'!C:C,A16)</f>
      </c>
      <c r="C16" s="10">
        <f>COUNTIFS('Lead Logs'!B:B,"Hồng Nhung",'Lead Logs'!D:D,A16,'Lead Logs'!E:E,"Qualified")+COUNTIFS('Lead Logs'!B:B,"Hồng Nhung",'Lead Logs'!D:D,A16,'Lead Logs'!E:E,"Unqualified")</f>
      </c>
      <c r="D16" s="10">
        <f>D15+B16-C16</f>
      </c>
      <c r="E16" s="17">
        <f>IFERROR(C16/B16,"-")</f>
      </c>
      <c r="F16" s="18">
        <f>IFERROR(C16/(B16+D15),"-")</f>
      </c>
      <c r="G16" s="11">
        <f>COUNTIFS('Lead Logs'!I:I,"Kim Huệ",'Lead Logs'!J:J,A16)</f>
      </c>
      <c r="H16" s="11">
        <f>COUNTIFS('Lead Logs'!I:I,"Kim Huệ",'Lead Logs'!K:K,A16,'Lead Logs'!L:L,"Qualified")+COUNTIFS('Lead Logs'!I:I,"Kim Huệ",'Lead Logs'!K:K,A16,'Lead Logs'!L:L,"Unqualified")</f>
      </c>
      <c r="I16" s="11">
        <f>I15+G16-H16</f>
      </c>
      <c r="J16" s="19">
        <f>IFERROR(H16/G16,"-")</f>
      </c>
      <c r="K16" s="12">
        <f>IFERROR(H16/(G16+I15),"-")</f>
      </c>
      <c r="L16" s="14">
        <f>COUNTIFS('Lead Logs'!N:N,"Phương Linh",'Lead Logs'!O:O,A16)</f>
      </c>
      <c r="M16" s="14">
        <f>COUNTIFS('Lead Logs'!N:N,"Phương Linh",'Lead Logs'!P:P,A16,'Lead Logs'!Q:Q,"Qualified")+COUNTIFS('Lead Logs'!N:N,"Phương Linh",'Lead Logs'!P:P,A16,'Lead Logs'!Q:Q,"Unqualified")</f>
      </c>
      <c r="N16" s="14">
        <f>N15+L16-M16</f>
      </c>
      <c r="O16" s="13">
        <f>IFERROR(M16/L16,"-")</f>
      </c>
      <c r="P16" s="15">
        <f>IFERROR(M16/(L16+N15),"-")</f>
      </c>
    </row>
    <row r="17">
      <c r="A17" s="16">
        <v>46145</v>
      </c>
      <c r="B17" s="10">
        <f>COUNTIFS('Lead Logs'!B:B,"Hồng Nhung",'Lead Logs'!C:C,A17)</f>
      </c>
      <c r="C17" s="10">
        <f>COUNTIFS('Lead Logs'!B:B,"Hồng Nhung",'Lead Logs'!D:D,A17,'Lead Logs'!E:E,"Qualified")+COUNTIFS('Lead Logs'!B:B,"Hồng Nhung",'Lead Logs'!D:D,A17,'Lead Logs'!E:E,"Unqualified")</f>
      </c>
      <c r="D17" s="10">
        <f>D16+B17-C17</f>
      </c>
      <c r="E17" s="17">
        <f>IFERROR(C17/B17,"-")</f>
      </c>
      <c r="F17" s="18">
        <f>IFERROR(C17/(B17+D16),"-")</f>
      </c>
      <c r="G17" s="11">
        <f>COUNTIFS('Lead Logs'!I:I,"Kim Huệ",'Lead Logs'!J:J,A17)</f>
      </c>
      <c r="H17" s="11">
        <f>COUNTIFS('Lead Logs'!I:I,"Kim Huệ",'Lead Logs'!K:K,A17,'Lead Logs'!L:L,"Qualified")+COUNTIFS('Lead Logs'!I:I,"Kim Huệ",'Lead Logs'!K:K,A17,'Lead Logs'!L:L,"Unqualified")</f>
      </c>
      <c r="I17" s="11">
        <f>I16+G17-H17</f>
      </c>
      <c r="J17" s="19">
        <f>IFERROR(H17/G17,"-")</f>
      </c>
      <c r="K17" s="12">
        <f>IFERROR(H17/(G17+I16),"-")</f>
      </c>
      <c r="L17" s="14">
        <f>COUNTIFS('Lead Logs'!N:N,"Phương Linh",'Lead Logs'!O:O,A17)</f>
      </c>
      <c r="M17" s="14">
        <f>COUNTIFS('Lead Logs'!N:N,"Phương Linh",'Lead Logs'!P:P,A17,'Lead Logs'!Q:Q,"Qualified")+COUNTIFS('Lead Logs'!N:N,"Phương Linh",'Lead Logs'!P:P,A17,'Lead Logs'!Q:Q,"Unqualified")</f>
      </c>
      <c r="N17" s="14">
        <f>N16+L17-M17</f>
      </c>
      <c r="O17" s="13">
        <f>IFERROR(M17/L17,"-")</f>
      </c>
      <c r="P17" s="15">
        <f>IFERROR(M17/(L17+N16),"-")</f>
      </c>
    </row>
    <row r="18">
      <c r="A18" s="16">
        <v>46146</v>
      </c>
      <c r="B18" s="10">
        <f>COUNTIFS('Lead Logs'!B:B,"Hồng Nhung",'Lead Logs'!C:C,A18)</f>
      </c>
      <c r="C18" s="10">
        <f>COUNTIFS('Lead Logs'!B:B,"Hồng Nhung",'Lead Logs'!D:D,A18,'Lead Logs'!E:E,"Qualified")+COUNTIFS('Lead Logs'!B:B,"Hồng Nhung",'Lead Logs'!D:D,A18,'Lead Logs'!E:E,"Unqualified")</f>
      </c>
      <c r="D18" s="10">
        <f>D17+B18-C18</f>
      </c>
      <c r="E18" s="17">
        <f>IFERROR(C18/B18,"-")</f>
      </c>
      <c r="F18" s="18">
        <f>IFERROR(C18/(B18+D17),"-")</f>
      </c>
      <c r="G18" s="11">
        <f>COUNTIFS('Lead Logs'!I:I,"Kim Huệ",'Lead Logs'!J:J,A18)</f>
      </c>
      <c r="H18" s="11">
        <f>COUNTIFS('Lead Logs'!I:I,"Kim Huệ",'Lead Logs'!K:K,A18,'Lead Logs'!L:L,"Qualified")+COUNTIFS('Lead Logs'!I:I,"Kim Huệ",'Lead Logs'!K:K,A18,'Lead Logs'!L:L,"Unqualified")</f>
      </c>
      <c r="I18" s="11">
        <f>I17+G18-H18</f>
      </c>
      <c r="J18" s="19">
        <f>IFERROR(H18/G18,"-")</f>
      </c>
      <c r="K18" s="12">
        <f>IFERROR(H18/(G18+I17),"-")</f>
      </c>
      <c r="L18" s="14">
        <f>COUNTIFS('Lead Logs'!N:N,"Phương Linh",'Lead Logs'!O:O,A18)</f>
      </c>
      <c r="M18" s="14">
        <f>COUNTIFS('Lead Logs'!N:N,"Phương Linh",'Lead Logs'!P:P,A18,'Lead Logs'!Q:Q,"Qualified")+COUNTIFS('Lead Logs'!N:N,"Phương Linh",'Lead Logs'!P:P,A18,'Lead Logs'!Q:Q,"Unqualified")</f>
      </c>
      <c r="N18" s="14">
        <f>N17+L18-M18</f>
      </c>
      <c r="O18" s="13">
        <f>IFERROR(M18/L18,"-")</f>
      </c>
      <c r="P18" s="15">
        <f>IFERROR(M18/(L18+N17),"-")</f>
      </c>
    </row>
    <row r="19">
      <c r="A19" s="16">
        <v>46147</v>
      </c>
      <c r="B19" s="10">
        <f>COUNTIFS('Lead Logs'!B:B,"Hồng Nhung",'Lead Logs'!C:C,A19)</f>
      </c>
      <c r="C19" s="10">
        <f>COUNTIFS('Lead Logs'!B:B,"Hồng Nhung",'Lead Logs'!D:D,A19,'Lead Logs'!E:E,"Qualified")+COUNTIFS('Lead Logs'!B:B,"Hồng Nhung",'Lead Logs'!D:D,A19,'Lead Logs'!E:E,"Unqualified")</f>
      </c>
      <c r="D19" s="10">
        <f>D18+B19-C19</f>
      </c>
      <c r="E19" s="17">
        <f>IFERROR(C19/B19,"-")</f>
      </c>
      <c r="F19" s="18">
        <f>IFERROR(C19/(B19+D18),"-")</f>
      </c>
      <c r="G19" s="11">
        <f>COUNTIFS('Lead Logs'!I:I,"Kim Huệ",'Lead Logs'!J:J,A19)</f>
      </c>
      <c r="H19" s="11">
        <f>COUNTIFS('Lead Logs'!I:I,"Kim Huệ",'Lead Logs'!K:K,A19,'Lead Logs'!L:L,"Qualified")+COUNTIFS('Lead Logs'!I:I,"Kim Huệ",'Lead Logs'!K:K,A19,'Lead Logs'!L:L,"Unqualified")</f>
      </c>
      <c r="I19" s="11">
        <f>I18+G19-H19</f>
      </c>
      <c r="J19" s="19">
        <f>IFERROR(H19/G19,"-")</f>
      </c>
      <c r="K19" s="12">
        <f>IFERROR(H19/(G19+I18),"-")</f>
      </c>
      <c r="L19" s="14">
        <f>COUNTIFS('Lead Logs'!N:N,"Phương Linh",'Lead Logs'!O:O,A19)</f>
      </c>
      <c r="M19" s="14">
        <f>COUNTIFS('Lead Logs'!N:N,"Phương Linh",'Lead Logs'!P:P,A19,'Lead Logs'!Q:Q,"Qualified")+COUNTIFS('Lead Logs'!N:N,"Phương Linh",'Lead Logs'!P:P,A19,'Lead Logs'!Q:Q,"Unqualified")</f>
      </c>
      <c r="N19" s="14">
        <f>N18+L19-M19</f>
      </c>
      <c r="O19" s="13">
        <f>IFERROR(M19/L19,"-")</f>
      </c>
      <c r="P19" s="15">
        <f>IFERROR(M19/(L19+N18),"-")</f>
      </c>
    </row>
    <row r="20">
      <c r="A20" s="16">
        <v>46148</v>
      </c>
      <c r="B20" s="10">
        <f>COUNTIFS('Lead Logs'!B:B,"Hồng Nhung",'Lead Logs'!C:C,A20)</f>
      </c>
      <c r="C20" s="10">
        <f>COUNTIFS('Lead Logs'!B:B,"Hồng Nhung",'Lead Logs'!D:D,A20,'Lead Logs'!E:E,"Qualified")+COUNTIFS('Lead Logs'!B:B,"Hồng Nhung",'Lead Logs'!D:D,A20,'Lead Logs'!E:E,"Unqualified")</f>
      </c>
      <c r="D20" s="10">
        <f>D19+B20-C20</f>
      </c>
      <c r="E20" s="17">
        <f>IFERROR(C20/B20,"-")</f>
      </c>
      <c r="F20" s="18">
        <f>IFERROR(C20/(B20+D19),"-")</f>
      </c>
      <c r="G20" s="11">
        <f>COUNTIFS('Lead Logs'!I:I,"Kim Huệ",'Lead Logs'!J:J,A20)</f>
      </c>
      <c r="H20" s="11">
        <f>COUNTIFS('Lead Logs'!I:I,"Kim Huệ",'Lead Logs'!K:K,A20,'Lead Logs'!L:L,"Qualified")+COUNTIFS('Lead Logs'!I:I,"Kim Huệ",'Lead Logs'!K:K,A20,'Lead Logs'!L:L,"Unqualified")</f>
      </c>
      <c r="I20" s="11">
        <f>I19+G20-H20</f>
      </c>
      <c r="J20" s="19">
        <f>IFERROR(H20/G20,"-")</f>
      </c>
      <c r="K20" s="12">
        <f>IFERROR(H20/(G20+I19),"-")</f>
      </c>
      <c r="L20" s="14">
        <f>COUNTIFS('Lead Logs'!N:N,"Phương Linh",'Lead Logs'!O:O,A20)</f>
      </c>
      <c r="M20" s="14">
        <f>COUNTIFS('Lead Logs'!N:N,"Phương Linh",'Lead Logs'!P:P,A20,'Lead Logs'!Q:Q,"Qualified")+COUNTIFS('Lead Logs'!N:N,"Phương Linh",'Lead Logs'!P:P,A20,'Lead Logs'!Q:Q,"Unqualified")</f>
      </c>
      <c r="N20" s="14">
        <f>N19+L20-M20</f>
      </c>
      <c r="O20" s="13">
        <f>IFERROR(M20/L20,"-")</f>
      </c>
      <c r="P20" s="15">
        <f>IFERROR(M20/(L20+N19),"-")</f>
      </c>
    </row>
    <row r="21">
      <c r="A21" s="16">
        <v>46149</v>
      </c>
      <c r="B21" s="10">
        <f>COUNTIFS('Lead Logs'!B:B,"Hồng Nhung",'Lead Logs'!C:C,A21)</f>
      </c>
      <c r="C21" s="10">
        <f>COUNTIFS('Lead Logs'!B:B,"Hồng Nhung",'Lead Logs'!D:D,A21,'Lead Logs'!E:E,"Qualified")+COUNTIFS('Lead Logs'!B:B,"Hồng Nhung",'Lead Logs'!D:D,A21,'Lead Logs'!E:E,"Unqualified")</f>
      </c>
      <c r="D21" s="10">
        <f>D20+B21-C21</f>
      </c>
      <c r="E21" s="17">
        <f>IFERROR(C21/B21,"-")</f>
      </c>
      <c r="F21" s="18">
        <f>IFERROR(C21/(B21+D20),"-")</f>
      </c>
      <c r="G21" s="11">
        <f>COUNTIFS('Lead Logs'!I:I,"Kim Huệ",'Lead Logs'!J:J,A21)</f>
      </c>
      <c r="H21" s="11">
        <f>COUNTIFS('Lead Logs'!I:I,"Kim Huệ",'Lead Logs'!K:K,A21,'Lead Logs'!L:L,"Qualified")+COUNTIFS('Lead Logs'!I:I,"Kim Huệ",'Lead Logs'!K:K,A21,'Lead Logs'!L:L,"Unqualified")</f>
      </c>
      <c r="I21" s="11">
        <f>I20+G21-H21</f>
      </c>
      <c r="J21" s="19">
        <f>IFERROR(H21/G21,"-")</f>
      </c>
      <c r="K21" s="12">
        <f>IFERROR(H21/(G21+I20),"-")</f>
      </c>
      <c r="L21" s="14">
        <f>COUNTIFS('Lead Logs'!N:N,"Phương Linh",'Lead Logs'!O:O,A21)</f>
      </c>
      <c r="M21" s="14">
        <f>COUNTIFS('Lead Logs'!N:N,"Phương Linh",'Lead Logs'!P:P,A21,'Lead Logs'!Q:Q,"Qualified")+COUNTIFS('Lead Logs'!N:N,"Phương Linh",'Lead Logs'!P:P,A21,'Lead Logs'!Q:Q,"Unqualified")</f>
      </c>
      <c r="N21" s="14">
        <f>N20+L21-M21</f>
      </c>
      <c r="O21" s="13">
        <f>IFERROR(M21/L21,"-")</f>
      </c>
      <c r="P21" s="15">
        <f>IFERROR(M21/(L21+N20),"-")</f>
      </c>
    </row>
    <row r="22">
      <c r="A22" s="16">
        <v>46150</v>
      </c>
      <c r="B22" s="10">
        <f>COUNTIFS('Lead Logs'!B:B,"Hồng Nhung",'Lead Logs'!C:C,A22)</f>
      </c>
      <c r="C22" s="10">
        <f>COUNTIFS('Lead Logs'!B:B,"Hồng Nhung",'Lead Logs'!D:D,A22,'Lead Logs'!E:E,"Qualified")+COUNTIFS('Lead Logs'!B:B,"Hồng Nhung",'Lead Logs'!D:D,A22,'Lead Logs'!E:E,"Unqualified")</f>
      </c>
      <c r="D22" s="10">
        <f>D21+B22-C22</f>
      </c>
      <c r="E22" s="17">
        <f>IFERROR(C22/B22,"-")</f>
      </c>
      <c r="F22" s="18">
        <f>IFERROR(C22/(B22+D21),"-")</f>
      </c>
      <c r="G22" s="11">
        <f>COUNTIFS('Lead Logs'!I:I,"Kim Huệ",'Lead Logs'!J:J,A22)</f>
      </c>
      <c r="H22" s="11">
        <f>COUNTIFS('Lead Logs'!I:I,"Kim Huệ",'Lead Logs'!K:K,A22,'Lead Logs'!L:L,"Qualified")+COUNTIFS('Lead Logs'!I:I,"Kim Huệ",'Lead Logs'!K:K,A22,'Lead Logs'!L:L,"Unqualified")</f>
      </c>
      <c r="I22" s="11">
        <f>I21+G22-H22</f>
      </c>
      <c r="J22" s="19">
        <f>IFERROR(H22/G22,"-")</f>
      </c>
      <c r="K22" s="12">
        <f>IFERROR(H22/(G22+I21),"-")</f>
      </c>
      <c r="L22" s="14">
        <f>COUNTIFS('Lead Logs'!N:N,"Phương Linh",'Lead Logs'!O:O,A22)</f>
      </c>
      <c r="M22" s="14">
        <f>COUNTIFS('Lead Logs'!N:N,"Phương Linh",'Lead Logs'!P:P,A22,'Lead Logs'!Q:Q,"Qualified")+COUNTIFS('Lead Logs'!N:N,"Phương Linh",'Lead Logs'!P:P,A22,'Lead Logs'!Q:Q,"Unqualified")</f>
      </c>
      <c r="N22" s="14">
        <f>N21+L22-M22</f>
      </c>
      <c r="O22" s="13">
        <f>IFERROR(M22/L22,"-")</f>
      </c>
      <c r="P22" s="15">
        <f>IFERROR(M22/(L22+N21),"-")</f>
      </c>
    </row>
    <row r="23">
      <c r="A23" s="16">
        <v>46151</v>
      </c>
      <c r="B23" s="10">
        <f>COUNTIFS('Lead Logs'!B:B,"Hồng Nhung",'Lead Logs'!C:C,A23)</f>
      </c>
      <c r="C23" s="10">
        <f>COUNTIFS('Lead Logs'!B:B,"Hồng Nhung",'Lead Logs'!D:D,A23,'Lead Logs'!E:E,"Qualified")+COUNTIFS('Lead Logs'!B:B,"Hồng Nhung",'Lead Logs'!D:D,A23,'Lead Logs'!E:E,"Unqualified")</f>
      </c>
      <c r="D23" s="10">
        <f>D22+B23-C23</f>
      </c>
      <c r="E23" s="17">
        <f>IFERROR(C23/B23,"-")</f>
      </c>
      <c r="F23" s="18">
        <f>IFERROR(C23/(B23+D22),"-")</f>
      </c>
      <c r="G23" s="11">
        <f>COUNTIFS('Lead Logs'!I:I,"Kim Huệ",'Lead Logs'!J:J,A23)</f>
      </c>
      <c r="H23" s="11">
        <f>COUNTIFS('Lead Logs'!I:I,"Kim Huệ",'Lead Logs'!K:K,A23,'Lead Logs'!L:L,"Qualified")+COUNTIFS('Lead Logs'!I:I,"Kim Huệ",'Lead Logs'!K:K,A23,'Lead Logs'!L:L,"Unqualified")</f>
      </c>
      <c r="I23" s="11">
        <f>I22+G23-H23</f>
      </c>
      <c r="J23" s="19">
        <f>IFERROR(H23/G23,"-")</f>
      </c>
      <c r="K23" s="12">
        <f>IFERROR(H23/(G23+I22),"-")</f>
      </c>
      <c r="L23" s="14">
        <f>COUNTIFS('Lead Logs'!N:N,"Phương Linh",'Lead Logs'!O:O,A23)</f>
      </c>
      <c r="M23" s="14">
        <f>COUNTIFS('Lead Logs'!N:N,"Phương Linh",'Lead Logs'!P:P,A23,'Lead Logs'!Q:Q,"Qualified")+COUNTIFS('Lead Logs'!N:N,"Phương Linh",'Lead Logs'!P:P,A23,'Lead Logs'!Q:Q,"Unqualified")</f>
      </c>
      <c r="N23" s="14">
        <f>N22+L23-M23</f>
      </c>
      <c r="O23" s="13">
        <f>IFERROR(M23/L23,"-")</f>
      </c>
      <c r="P23" s="15">
        <f>IFERROR(M23/(L23+N22),"-")</f>
      </c>
    </row>
    <row r="24">
      <c r="A24" s="16">
        <v>46152</v>
      </c>
      <c r="B24" s="10">
        <f>COUNTIFS('Lead Logs'!B:B,"Hồng Nhung",'Lead Logs'!C:C,A24)</f>
      </c>
      <c r="C24" s="10">
        <f>COUNTIFS('Lead Logs'!B:B,"Hồng Nhung",'Lead Logs'!D:D,A24,'Lead Logs'!E:E,"Qualified")+COUNTIFS('Lead Logs'!B:B,"Hồng Nhung",'Lead Logs'!D:D,A24,'Lead Logs'!E:E,"Unqualified")</f>
      </c>
      <c r="D24" s="10">
        <f>D23+B24-C24</f>
      </c>
      <c r="E24" s="17">
        <f>IFERROR(C24/B24,"-")</f>
      </c>
      <c r="F24" s="18">
        <f>IFERROR(C24/(B24+D23),"-")</f>
      </c>
      <c r="G24" s="11">
        <f>COUNTIFS('Lead Logs'!I:I,"Kim Huệ",'Lead Logs'!J:J,A24)</f>
      </c>
      <c r="H24" s="11">
        <f>COUNTIFS('Lead Logs'!I:I,"Kim Huệ",'Lead Logs'!K:K,A24,'Lead Logs'!L:L,"Qualified")+COUNTIFS('Lead Logs'!I:I,"Kim Huệ",'Lead Logs'!K:K,A24,'Lead Logs'!L:L,"Unqualified")</f>
      </c>
      <c r="I24" s="11">
        <f>I23+G24-H24</f>
      </c>
      <c r="J24" s="19">
        <f>IFERROR(H24/G24,"-")</f>
      </c>
      <c r="K24" s="12">
        <f>IFERROR(H24/(G24+I23),"-")</f>
      </c>
      <c r="L24" s="14">
        <f>COUNTIFS('Lead Logs'!N:N,"Phương Linh",'Lead Logs'!O:O,A24)</f>
      </c>
      <c r="M24" s="14">
        <f>COUNTIFS('Lead Logs'!N:N,"Phương Linh",'Lead Logs'!P:P,A24,'Lead Logs'!Q:Q,"Qualified")+COUNTIFS('Lead Logs'!N:N,"Phương Linh",'Lead Logs'!P:P,A24,'Lead Logs'!Q:Q,"Unqualified")</f>
      </c>
      <c r="N24" s="14">
        <f>N23+L24-M24</f>
      </c>
      <c r="O24" s="13">
        <f>IFERROR(M24/L24,"-")</f>
      </c>
      <c r="P24" s="15">
        <f>IFERROR(M24/(L24+N23),"-")</f>
      </c>
    </row>
    <row r="25">
      <c r="A25" s="16">
        <v>46153</v>
      </c>
      <c r="B25" s="10">
        <f>COUNTIFS('Lead Logs'!B:B,"Hồng Nhung",'Lead Logs'!C:C,A25)</f>
      </c>
      <c r="C25" s="10">
        <f>COUNTIFS('Lead Logs'!B:B,"Hồng Nhung",'Lead Logs'!D:D,A25,'Lead Logs'!E:E,"Qualified")+COUNTIFS('Lead Logs'!B:B,"Hồng Nhung",'Lead Logs'!D:D,A25,'Lead Logs'!E:E,"Unqualified")</f>
      </c>
      <c r="D25" s="10">
        <f>D24+B25-C25</f>
      </c>
      <c r="E25" s="17">
        <f>IFERROR(C25/B25,"-")</f>
      </c>
      <c r="F25" s="18">
        <f>IFERROR(C25/(B25+D24),"-")</f>
      </c>
      <c r="G25" s="11">
        <f>COUNTIFS('Lead Logs'!I:I,"Kim Huệ",'Lead Logs'!J:J,A25)</f>
      </c>
      <c r="H25" s="11">
        <f>COUNTIFS('Lead Logs'!I:I,"Kim Huệ",'Lead Logs'!K:K,A25,'Lead Logs'!L:L,"Qualified")+COUNTIFS('Lead Logs'!I:I,"Kim Huệ",'Lead Logs'!K:K,A25,'Lead Logs'!L:L,"Unqualified")</f>
      </c>
      <c r="I25" s="11">
        <f>I24+G25-H25</f>
      </c>
      <c r="J25" s="19">
        <f>IFERROR(H25/G25,"-")</f>
      </c>
      <c r="K25" s="12">
        <f>IFERROR(H25/(G25+I24),"-")</f>
      </c>
      <c r="L25" s="14">
        <f>COUNTIFS('Lead Logs'!N:N,"Phương Linh",'Lead Logs'!O:O,A25)</f>
      </c>
      <c r="M25" s="14">
        <f>COUNTIFS('Lead Logs'!N:N,"Phương Linh",'Lead Logs'!P:P,A25,'Lead Logs'!Q:Q,"Qualified")+COUNTIFS('Lead Logs'!N:N,"Phương Linh",'Lead Logs'!P:P,A25,'Lead Logs'!Q:Q,"Unqualified")</f>
      </c>
      <c r="N25" s="14">
        <f>N24+L25-M25</f>
      </c>
      <c r="O25" s="13">
        <f>IFERROR(M25/L25,"-")</f>
      </c>
      <c r="P25" s="15">
        <f>IFERROR(M25/(L25+N24),"-")</f>
      </c>
    </row>
    <row r="26">
      <c r="A26" s="16">
        <v>46154</v>
      </c>
      <c r="B26" s="10">
        <f>COUNTIFS('Lead Logs'!B:B,"Hồng Nhung",'Lead Logs'!C:C,A26)</f>
      </c>
      <c r="C26" s="10">
        <f>COUNTIFS('Lead Logs'!B:B,"Hồng Nhung",'Lead Logs'!D:D,A26,'Lead Logs'!E:E,"Qualified")+COUNTIFS('Lead Logs'!B:B,"Hồng Nhung",'Lead Logs'!D:D,A26,'Lead Logs'!E:E,"Unqualified")</f>
      </c>
      <c r="D26" s="10">
        <f>D25+B26-C26</f>
      </c>
      <c r="E26" s="17">
        <f>IFERROR(C26/B26,"-")</f>
      </c>
      <c r="F26" s="18">
        <f>IFERROR(C26/(B26+D25),"-")</f>
      </c>
      <c r="G26" s="11">
        <f>COUNTIFS('Lead Logs'!I:I,"Kim Huệ",'Lead Logs'!J:J,A26)</f>
      </c>
      <c r="H26" s="11">
        <f>COUNTIFS('Lead Logs'!I:I,"Kim Huệ",'Lead Logs'!K:K,A26,'Lead Logs'!L:L,"Qualified")+COUNTIFS('Lead Logs'!I:I,"Kim Huệ",'Lead Logs'!K:K,A26,'Lead Logs'!L:L,"Unqualified")</f>
      </c>
      <c r="I26" s="11">
        <f>I25+G26-H26</f>
      </c>
      <c r="J26" s="19">
        <f>IFERROR(H26/G26,"-")</f>
      </c>
      <c r="K26" s="12">
        <f>IFERROR(H26/(G26+I25),"-")</f>
      </c>
      <c r="L26" s="14">
        <f>COUNTIFS('Lead Logs'!N:N,"Phương Linh",'Lead Logs'!O:O,A26)</f>
      </c>
      <c r="M26" s="14">
        <f>COUNTIFS('Lead Logs'!N:N,"Phương Linh",'Lead Logs'!P:P,A26,'Lead Logs'!Q:Q,"Qualified")+COUNTIFS('Lead Logs'!N:N,"Phương Linh",'Lead Logs'!P:P,A26,'Lead Logs'!Q:Q,"Unqualified")</f>
      </c>
      <c r="N26" s="14">
        <f>N25+L26-M26</f>
      </c>
      <c r="O26" s="13">
        <f>IFERROR(M26/L26,"-")</f>
      </c>
      <c r="P26" s="15">
        <f>IFERROR(M26/(L26+N25),"-")</f>
      </c>
    </row>
    <row r="27">
      <c r="A27" s="16">
        <v>46155</v>
      </c>
      <c r="B27" s="10">
        <f>COUNTIFS('Lead Logs'!B:B,"Hồng Nhung",'Lead Logs'!C:C,A27)</f>
      </c>
      <c r="C27" s="10">
        <f>COUNTIFS('Lead Logs'!B:B,"Hồng Nhung",'Lead Logs'!D:D,A27,'Lead Logs'!E:E,"Qualified")+COUNTIFS('Lead Logs'!B:B,"Hồng Nhung",'Lead Logs'!D:D,A27,'Lead Logs'!E:E,"Unqualified")</f>
      </c>
      <c r="D27" s="10">
        <f>D26+B27-C27</f>
      </c>
      <c r="E27" s="17">
        <f>IFERROR(C27/B27,"-")</f>
      </c>
      <c r="F27" s="18">
        <f>IFERROR(C27/(B27+D26),"-")</f>
      </c>
      <c r="G27" s="11">
        <f>COUNTIFS('Lead Logs'!I:I,"Kim Huệ",'Lead Logs'!J:J,A27)</f>
      </c>
      <c r="H27" s="11">
        <f>COUNTIFS('Lead Logs'!I:I,"Kim Huệ",'Lead Logs'!K:K,A27,'Lead Logs'!L:L,"Qualified")+COUNTIFS('Lead Logs'!I:I,"Kim Huệ",'Lead Logs'!K:K,A27,'Lead Logs'!L:L,"Unqualified")</f>
      </c>
      <c r="I27" s="11">
        <f>I26+G27-H27</f>
      </c>
      <c r="J27" s="19">
        <f>IFERROR(H27/G27,"-")</f>
      </c>
      <c r="K27" s="12">
        <f>IFERROR(H27/(G27+I26),"-")</f>
      </c>
      <c r="L27" s="14">
        <f>COUNTIFS('Lead Logs'!N:N,"Phương Linh",'Lead Logs'!O:O,A27)</f>
      </c>
      <c r="M27" s="14">
        <f>COUNTIFS('Lead Logs'!N:N,"Phương Linh",'Lead Logs'!P:P,A27,'Lead Logs'!Q:Q,"Qualified")+COUNTIFS('Lead Logs'!N:N,"Phương Linh",'Lead Logs'!P:P,A27,'Lead Logs'!Q:Q,"Unqualified")</f>
      </c>
      <c r="N27" s="14">
        <f>N26+L27-M27</f>
      </c>
      <c r="O27" s="13">
        <f>IFERROR(M27/L27,"-")</f>
      </c>
      <c r="P27" s="15">
        <f>IFERROR(M27/(L27+N26),"-")</f>
      </c>
    </row>
    <row r="28">
      <c r="A28" s="16">
        <v>46156</v>
      </c>
      <c r="B28" s="10">
        <f>COUNTIFS('Lead Logs'!B:B,"Hồng Nhung",'Lead Logs'!C:C,A28)</f>
      </c>
      <c r="C28" s="10">
        <f>COUNTIFS('Lead Logs'!B:B,"Hồng Nhung",'Lead Logs'!D:D,A28,'Lead Logs'!E:E,"Qualified")+COUNTIFS('Lead Logs'!B:B,"Hồng Nhung",'Lead Logs'!D:D,A28,'Lead Logs'!E:E,"Unqualified")</f>
      </c>
      <c r="D28" s="10">
        <f>D27+B28-C28</f>
      </c>
      <c r="E28" s="17">
        <f>IFERROR(C28/B28,"-")</f>
      </c>
      <c r="F28" s="18">
        <f>IFERROR(C28/(B28+D27),"-")</f>
      </c>
      <c r="G28" s="11">
        <f>COUNTIFS('Lead Logs'!I:I,"Kim Huệ",'Lead Logs'!J:J,A28)</f>
      </c>
      <c r="H28" s="11">
        <f>COUNTIFS('Lead Logs'!I:I,"Kim Huệ",'Lead Logs'!K:K,A28,'Lead Logs'!L:L,"Qualified")+COUNTIFS('Lead Logs'!I:I,"Kim Huệ",'Lead Logs'!K:K,A28,'Lead Logs'!L:L,"Unqualified")</f>
      </c>
      <c r="I28" s="11">
        <f>I27+G28-H28</f>
      </c>
      <c r="J28" s="19">
        <f>IFERROR(H28/G28,"-")</f>
      </c>
      <c r="K28" s="12">
        <f>IFERROR(H28/(G28+I27),"-")</f>
      </c>
      <c r="L28" s="14">
        <f>COUNTIFS('Lead Logs'!N:N,"Phương Linh",'Lead Logs'!O:O,A28)</f>
      </c>
      <c r="M28" s="14">
        <f>COUNTIFS('Lead Logs'!N:N,"Phương Linh",'Lead Logs'!P:P,A28,'Lead Logs'!Q:Q,"Qualified")+COUNTIFS('Lead Logs'!N:N,"Phương Linh",'Lead Logs'!P:P,A28,'Lead Logs'!Q:Q,"Unqualified")</f>
      </c>
      <c r="N28" s="14">
        <f>N27+L28-M28</f>
      </c>
      <c r="O28" s="13">
        <f>IFERROR(M28/L28,"-")</f>
      </c>
      <c r="P28" s="15">
        <f>IFERROR(M28/(L28+N27),"-")</f>
      </c>
    </row>
    <row r="29">
      <c r="A29" s="16">
        <v>46157</v>
      </c>
      <c r="B29" s="10">
        <f>COUNTIFS('Lead Logs'!B:B,"Hồng Nhung",'Lead Logs'!C:C,A29)</f>
      </c>
      <c r="C29" s="10">
        <f>COUNTIFS('Lead Logs'!B:B,"Hồng Nhung",'Lead Logs'!D:D,A29,'Lead Logs'!E:E,"Qualified")+COUNTIFS('Lead Logs'!B:B,"Hồng Nhung",'Lead Logs'!D:D,A29,'Lead Logs'!E:E,"Unqualified")</f>
      </c>
      <c r="D29" s="10">
        <f>D28+B29-C29</f>
      </c>
      <c r="E29" s="17">
        <f>IFERROR(C29/B29,"-")</f>
      </c>
      <c r="F29" s="18">
        <f>IFERROR(C29/(B29+D28),"-")</f>
      </c>
      <c r="G29" s="11">
        <f>COUNTIFS('Lead Logs'!I:I,"Kim Huệ",'Lead Logs'!J:J,A29)</f>
      </c>
      <c r="H29" s="11">
        <f>COUNTIFS('Lead Logs'!I:I,"Kim Huệ",'Lead Logs'!K:K,A29,'Lead Logs'!L:L,"Qualified")+COUNTIFS('Lead Logs'!I:I,"Kim Huệ",'Lead Logs'!K:K,A29,'Lead Logs'!L:L,"Unqualified")</f>
      </c>
      <c r="I29" s="11">
        <f>I28+G29-H29</f>
      </c>
      <c r="J29" s="19">
        <f>IFERROR(H29/G29,"-")</f>
      </c>
      <c r="K29" s="12">
        <f>IFERROR(H29/(G29+I28),"-")</f>
      </c>
      <c r="L29" s="14">
        <f>COUNTIFS('Lead Logs'!N:N,"Phương Linh",'Lead Logs'!O:O,A29)</f>
      </c>
      <c r="M29" s="14">
        <f>COUNTIFS('Lead Logs'!N:N,"Phương Linh",'Lead Logs'!P:P,A29,'Lead Logs'!Q:Q,"Qualified")+COUNTIFS('Lead Logs'!N:N,"Phương Linh",'Lead Logs'!P:P,A29,'Lead Logs'!Q:Q,"Unqualified")</f>
      </c>
      <c r="N29" s="14">
        <f>N28+L29-M29</f>
      </c>
      <c r="O29" s="13">
        <f>IFERROR(M29/L29,"-")</f>
      </c>
      <c r="P29" s="15">
        <f>IFERROR(M29/(L29+N28),"-")</f>
      </c>
    </row>
    <row r="30">
      <c r="A30" s="16">
        <v>46158</v>
      </c>
      <c r="B30" s="10">
        <f>COUNTIFS('Lead Logs'!B:B,"Hồng Nhung",'Lead Logs'!C:C,A30)</f>
      </c>
      <c r="C30" s="10">
        <f>COUNTIFS('Lead Logs'!B:B,"Hồng Nhung",'Lead Logs'!D:D,A30,'Lead Logs'!E:E,"Qualified")+COUNTIFS('Lead Logs'!B:B,"Hồng Nhung",'Lead Logs'!D:D,A30,'Lead Logs'!E:E,"Unqualified")</f>
      </c>
      <c r="D30" s="10">
        <f>D29+B30-C30</f>
      </c>
      <c r="E30" s="17">
        <f>IFERROR(C30/B30,"-")</f>
      </c>
      <c r="F30" s="18">
        <f>IFERROR(C30/(B30+D29),"-")</f>
      </c>
      <c r="G30" s="11">
        <f>COUNTIFS('Lead Logs'!I:I,"Kim Huệ",'Lead Logs'!J:J,A30)</f>
      </c>
      <c r="H30" s="11">
        <f>COUNTIFS('Lead Logs'!I:I,"Kim Huệ",'Lead Logs'!K:K,A30,'Lead Logs'!L:L,"Qualified")+COUNTIFS('Lead Logs'!I:I,"Kim Huệ",'Lead Logs'!K:K,A30,'Lead Logs'!L:L,"Unqualified")</f>
      </c>
      <c r="I30" s="11">
        <f>I29+G30-H30</f>
      </c>
      <c r="J30" s="19">
        <f>IFERROR(H30/G30,"-")</f>
      </c>
      <c r="K30" s="12">
        <f>IFERROR(H30/(G30+I29),"-")</f>
      </c>
      <c r="L30" s="14">
        <f>COUNTIFS('Lead Logs'!N:N,"Phương Linh",'Lead Logs'!O:O,A30)</f>
      </c>
      <c r="M30" s="14">
        <f>COUNTIFS('Lead Logs'!N:N,"Phương Linh",'Lead Logs'!P:P,A30,'Lead Logs'!Q:Q,"Qualified")+COUNTIFS('Lead Logs'!N:N,"Phương Linh",'Lead Logs'!P:P,A30,'Lead Logs'!Q:Q,"Unqualified")</f>
      </c>
      <c r="N30" s="14">
        <f>N29+L30-M30</f>
      </c>
      <c r="O30" s="13">
        <f>IFERROR(M30/L30,"-")</f>
      </c>
      <c r="P30" s="15">
        <f>IFERROR(M30/(L30+N29),"-")</f>
      </c>
    </row>
    <row r="31">
      <c r="A31" s="16">
        <v>46159</v>
      </c>
      <c r="B31" s="10">
        <f>COUNTIFS('Lead Logs'!B:B,"Hồng Nhung",'Lead Logs'!C:C,A31)</f>
      </c>
      <c r="C31" s="10">
        <f>COUNTIFS('Lead Logs'!B:B,"Hồng Nhung",'Lead Logs'!D:D,A31,'Lead Logs'!E:E,"Qualified")+COUNTIFS('Lead Logs'!B:B,"Hồng Nhung",'Lead Logs'!D:D,A31,'Lead Logs'!E:E,"Unqualified")</f>
      </c>
      <c r="D31" s="10">
        <f>D30+B31-C31</f>
      </c>
      <c r="E31" s="17">
        <f>IFERROR(C31/B31,"-")</f>
      </c>
      <c r="F31" s="18">
        <f>IFERROR(C31/(B31+D30),"-")</f>
      </c>
      <c r="G31" s="11">
        <f>COUNTIFS('Lead Logs'!I:I,"Kim Huệ",'Lead Logs'!J:J,A31)</f>
      </c>
      <c r="H31" s="11">
        <f>COUNTIFS('Lead Logs'!I:I,"Kim Huệ",'Lead Logs'!K:K,A31,'Lead Logs'!L:L,"Qualified")+COUNTIFS('Lead Logs'!I:I,"Kim Huệ",'Lead Logs'!K:K,A31,'Lead Logs'!L:L,"Unqualified")</f>
      </c>
      <c r="I31" s="11">
        <f>I30+G31-H31</f>
      </c>
      <c r="J31" s="19">
        <f>IFERROR(H31/G31,"-")</f>
      </c>
      <c r="K31" s="12">
        <f>IFERROR(H31/(G31+I30),"-")</f>
      </c>
      <c r="L31" s="14">
        <f>COUNTIFS('Lead Logs'!N:N,"Phương Linh",'Lead Logs'!O:O,A31)</f>
      </c>
      <c r="M31" s="14">
        <f>COUNTIFS('Lead Logs'!N:N,"Phương Linh",'Lead Logs'!P:P,A31,'Lead Logs'!Q:Q,"Qualified")+COUNTIFS('Lead Logs'!N:N,"Phương Linh",'Lead Logs'!P:P,A31,'Lead Logs'!Q:Q,"Unqualified")</f>
      </c>
      <c r="N31" s="14">
        <f>N30+L31-M31</f>
      </c>
      <c r="O31" s="13">
        <f>IFERROR(M31/L31,"-")</f>
      </c>
      <c r="P31" s="15">
        <f>IFERROR(M31/(L31+N30),"-")</f>
      </c>
    </row>
    <row r="32">
      <c r="A32" s="16">
        <v>46160</v>
      </c>
      <c r="B32" s="10">
        <f>COUNTIFS('Lead Logs'!B:B,"Hồng Nhung",'Lead Logs'!C:C,A32)</f>
      </c>
      <c r="C32" s="10">
        <f>COUNTIFS('Lead Logs'!B:B,"Hồng Nhung",'Lead Logs'!D:D,A32,'Lead Logs'!E:E,"Qualified")+COUNTIFS('Lead Logs'!B:B,"Hồng Nhung",'Lead Logs'!D:D,A32,'Lead Logs'!E:E,"Unqualified")</f>
      </c>
      <c r="D32" s="10">
        <f>D31+B32-C32</f>
      </c>
      <c r="E32" s="17">
        <f>IFERROR(C32/B32,"-")</f>
      </c>
      <c r="F32" s="18">
        <f>IFERROR(C32/(B32+D31),"-")</f>
      </c>
      <c r="G32" s="11">
        <f>COUNTIFS('Lead Logs'!I:I,"Kim Huệ",'Lead Logs'!J:J,A32)</f>
      </c>
      <c r="H32" s="11">
        <f>COUNTIFS('Lead Logs'!I:I,"Kim Huệ",'Lead Logs'!K:K,A32,'Lead Logs'!L:L,"Qualified")+COUNTIFS('Lead Logs'!I:I,"Kim Huệ",'Lead Logs'!K:K,A32,'Lead Logs'!L:L,"Unqualified")</f>
      </c>
      <c r="I32" s="11">
        <f>I31+G32-H32</f>
      </c>
      <c r="J32" s="19">
        <f>IFERROR(H32/G32,"-")</f>
      </c>
      <c r="K32" s="12">
        <f>IFERROR(H32/(G32+I31),"-")</f>
      </c>
      <c r="L32" s="14">
        <f>COUNTIFS('Lead Logs'!N:N,"Phương Linh",'Lead Logs'!O:O,A32)</f>
      </c>
      <c r="M32" s="14">
        <f>COUNTIFS('Lead Logs'!N:N,"Phương Linh",'Lead Logs'!P:P,A32,'Lead Logs'!Q:Q,"Qualified")+COUNTIFS('Lead Logs'!N:N,"Phương Linh",'Lead Logs'!P:P,A32,'Lead Logs'!Q:Q,"Unqualified")</f>
      </c>
      <c r="N32" s="14">
        <f>N31+L32-M32</f>
      </c>
      <c r="O32" s="13">
        <f>IFERROR(M32/L32,"-")</f>
      </c>
      <c r="P32" s="15">
        <f>IFERROR(M32/(L32+N31),"-")</f>
      </c>
    </row>
    <row r="33">
      <c r="A33" s="16">
        <v>46161</v>
      </c>
      <c r="B33" s="10">
        <f>COUNTIFS('Lead Logs'!B:B,"Hồng Nhung",'Lead Logs'!C:C,A33)</f>
      </c>
      <c r="C33" s="10">
        <f>COUNTIFS('Lead Logs'!B:B,"Hồng Nhung",'Lead Logs'!D:D,A33,'Lead Logs'!E:E,"Qualified")+COUNTIFS('Lead Logs'!B:B,"Hồng Nhung",'Lead Logs'!D:D,A33,'Lead Logs'!E:E,"Unqualified")</f>
      </c>
      <c r="D33" s="10">
        <f>D32+B33-C33</f>
      </c>
      <c r="E33" s="17">
        <f>IFERROR(C33/B33,"-")</f>
      </c>
      <c r="F33" s="18">
        <f>IFERROR(C33/(B33+D32),"-")</f>
      </c>
      <c r="G33" s="11">
        <f>COUNTIFS('Lead Logs'!I:I,"Kim Huệ",'Lead Logs'!J:J,A33)</f>
      </c>
      <c r="H33" s="11">
        <f>COUNTIFS('Lead Logs'!I:I,"Kim Huệ",'Lead Logs'!K:K,A33,'Lead Logs'!L:L,"Qualified")+COUNTIFS('Lead Logs'!I:I,"Kim Huệ",'Lead Logs'!K:K,A33,'Lead Logs'!L:L,"Unqualified")</f>
      </c>
      <c r="I33" s="11">
        <f>I32+G33-H33</f>
      </c>
      <c r="J33" s="19">
        <f>IFERROR(H33/G33,"-")</f>
      </c>
      <c r="K33" s="12">
        <f>IFERROR(H33/(G33+I32),"-")</f>
      </c>
      <c r="L33" s="14">
        <f>COUNTIFS('Lead Logs'!N:N,"Phương Linh",'Lead Logs'!O:O,A33)</f>
      </c>
      <c r="M33" s="14">
        <f>COUNTIFS('Lead Logs'!N:N,"Phương Linh",'Lead Logs'!P:P,A33,'Lead Logs'!Q:Q,"Qualified")+COUNTIFS('Lead Logs'!N:N,"Phương Linh",'Lead Logs'!P:P,A33,'Lead Logs'!Q:Q,"Unqualified")</f>
      </c>
      <c r="N33" s="14">
        <f>N32+L33-M33</f>
      </c>
      <c r="O33" s="13">
        <f>IFERROR(M33/L33,"-")</f>
      </c>
      <c r="P33" s="15">
        <f>IFERROR(M33/(L33+N32),"-")</f>
      </c>
    </row>
    <row r="34">
      <c r="A34" s="16">
        <v>46162</v>
      </c>
      <c r="B34" s="10">
        <f>COUNTIFS('Lead Logs'!B:B,"Hồng Nhung",'Lead Logs'!C:C,A34)</f>
      </c>
      <c r="C34" s="10">
        <f>COUNTIFS('Lead Logs'!B:B,"Hồng Nhung",'Lead Logs'!D:D,A34,'Lead Logs'!E:E,"Qualified")+COUNTIFS('Lead Logs'!B:B,"Hồng Nhung",'Lead Logs'!D:D,A34,'Lead Logs'!E:E,"Unqualified")</f>
      </c>
      <c r="D34" s="10">
        <f>D33+B34-C34</f>
      </c>
      <c r="E34" s="17">
        <f>IFERROR(C34/B34,"-")</f>
      </c>
      <c r="F34" s="18">
        <f>IFERROR(C34/(B34+D33),"-")</f>
      </c>
      <c r="G34" s="11">
        <f>COUNTIFS('Lead Logs'!I:I,"Kim Huệ",'Lead Logs'!J:J,A34)</f>
      </c>
      <c r="H34" s="11">
        <f>COUNTIFS('Lead Logs'!I:I,"Kim Huệ",'Lead Logs'!K:K,A34,'Lead Logs'!L:L,"Qualified")+COUNTIFS('Lead Logs'!I:I,"Kim Huệ",'Lead Logs'!K:K,A34,'Lead Logs'!L:L,"Unqualified")</f>
      </c>
      <c r="I34" s="11">
        <f>I33+G34-H34</f>
      </c>
      <c r="J34" s="19">
        <f>IFERROR(H34/G34,"-")</f>
      </c>
      <c r="K34" s="12">
        <f>IFERROR(H34/(G34+I33),"-")</f>
      </c>
      <c r="L34" s="14">
        <f>COUNTIFS('Lead Logs'!N:N,"Phương Linh",'Lead Logs'!O:O,A34)</f>
      </c>
      <c r="M34" s="14">
        <f>COUNTIFS('Lead Logs'!N:N,"Phương Linh",'Lead Logs'!P:P,A34,'Lead Logs'!Q:Q,"Qualified")+COUNTIFS('Lead Logs'!N:N,"Phương Linh",'Lead Logs'!P:P,A34,'Lead Logs'!Q:Q,"Unqualified")</f>
      </c>
      <c r="N34" s="14">
        <f>N33+L34-M34</f>
      </c>
      <c r="O34" s="13">
        <f>IFERROR(M34/L34,"-")</f>
      </c>
      <c r="P34" s="15">
        <f>IFERROR(M34/(L34+N33),"-")</f>
      </c>
    </row>
    <row r="35">
      <c r="A35" s="16">
        <v>46163</v>
      </c>
      <c r="B35" s="10">
        <f>COUNTIFS('Lead Logs'!B:B,"Hồng Nhung",'Lead Logs'!C:C,A35)</f>
      </c>
      <c r="C35" s="10">
        <f>COUNTIFS('Lead Logs'!B:B,"Hồng Nhung",'Lead Logs'!D:D,A35,'Lead Logs'!E:E,"Qualified")+COUNTIFS('Lead Logs'!B:B,"Hồng Nhung",'Lead Logs'!D:D,A35,'Lead Logs'!E:E,"Unqualified")</f>
      </c>
      <c r="D35" s="10">
        <f>D34+B35-C35</f>
      </c>
      <c r="E35" s="17">
        <f>IFERROR(C35/B35,"-")</f>
      </c>
      <c r="F35" s="18">
        <f>IFERROR(C35/(B35+D34),"-")</f>
      </c>
      <c r="G35" s="11">
        <f>COUNTIFS('Lead Logs'!I:I,"Kim Huệ",'Lead Logs'!J:J,A35)</f>
      </c>
      <c r="H35" s="11">
        <f>COUNTIFS('Lead Logs'!I:I,"Kim Huệ",'Lead Logs'!K:K,A35,'Lead Logs'!L:L,"Qualified")+COUNTIFS('Lead Logs'!I:I,"Kim Huệ",'Lead Logs'!K:K,A35,'Lead Logs'!L:L,"Unqualified")</f>
      </c>
      <c r="I35" s="11">
        <f>I34+G35-H35</f>
      </c>
      <c r="J35" s="19">
        <f>IFERROR(H35/G35,"-")</f>
      </c>
      <c r="K35" s="12">
        <f>IFERROR(H35/(G35+I34),"-")</f>
      </c>
      <c r="L35" s="14">
        <f>COUNTIFS('Lead Logs'!N:N,"Phương Linh",'Lead Logs'!O:O,A35)</f>
      </c>
      <c r="M35" s="14">
        <f>COUNTIFS('Lead Logs'!N:N,"Phương Linh",'Lead Logs'!P:P,A35,'Lead Logs'!Q:Q,"Qualified")+COUNTIFS('Lead Logs'!N:N,"Phương Linh",'Lead Logs'!P:P,A35,'Lead Logs'!Q:Q,"Unqualified")</f>
      </c>
      <c r="N35" s="14">
        <f>N34+L35-M35</f>
      </c>
      <c r="O35" s="13">
        <f>IFERROR(M35/L35,"-")</f>
      </c>
      <c r="P35" s="15">
        <f>IFERROR(M35/(L35+N34),"-")</f>
      </c>
    </row>
    <row r="36">
      <c r="A36" s="16">
        <v>46164</v>
      </c>
      <c r="B36" s="10">
        <f>COUNTIFS('Lead Logs'!B:B,"Hồng Nhung",'Lead Logs'!C:C,A36)</f>
      </c>
      <c r="C36" s="10">
        <f>COUNTIFS('Lead Logs'!B:B,"Hồng Nhung",'Lead Logs'!D:D,A36,'Lead Logs'!E:E,"Qualified")+COUNTIFS('Lead Logs'!B:B,"Hồng Nhung",'Lead Logs'!D:D,A36,'Lead Logs'!E:E,"Unqualified")</f>
      </c>
      <c r="D36" s="10">
        <f>D35+B36-C36</f>
      </c>
      <c r="E36" s="17">
        <f>IFERROR(C36/B36,"-")</f>
      </c>
      <c r="F36" s="18">
        <f>IFERROR(C36/(B36+D35),"-")</f>
      </c>
      <c r="G36" s="11">
        <f>COUNTIFS('Lead Logs'!I:I,"Kim Huệ",'Lead Logs'!J:J,A36)</f>
      </c>
      <c r="H36" s="11">
        <f>COUNTIFS('Lead Logs'!I:I,"Kim Huệ",'Lead Logs'!K:K,A36,'Lead Logs'!L:L,"Qualified")+COUNTIFS('Lead Logs'!I:I,"Kim Huệ",'Lead Logs'!K:K,A36,'Lead Logs'!L:L,"Unqualified")</f>
      </c>
      <c r="I36" s="11">
        <f>I35+G36-H36</f>
      </c>
      <c r="J36" s="19">
        <f>IFERROR(H36/G36,"-")</f>
      </c>
      <c r="K36" s="12">
        <f>IFERROR(H36/(G36+I35),"-")</f>
      </c>
      <c r="L36" s="14">
        <f>COUNTIFS('Lead Logs'!N:N,"Phương Linh",'Lead Logs'!O:O,A36)</f>
      </c>
      <c r="M36" s="14">
        <f>COUNTIFS('Lead Logs'!N:N,"Phương Linh",'Lead Logs'!P:P,A36,'Lead Logs'!Q:Q,"Qualified")+COUNTIFS('Lead Logs'!N:N,"Phương Linh",'Lead Logs'!P:P,A36,'Lead Logs'!Q:Q,"Unqualified")</f>
      </c>
      <c r="N36" s="14">
        <f>N35+L36-M36</f>
      </c>
      <c r="O36" s="13">
        <f>IFERROR(M36/L36,"-")</f>
      </c>
      <c r="P36" s="15">
        <f>IFERROR(M36/(L36+N35),"-")</f>
      </c>
    </row>
    <row r="37">
      <c r="A37" s="16">
        <v>46165</v>
      </c>
      <c r="B37" s="10">
        <f>COUNTIFS('Lead Logs'!B:B,"Hồng Nhung",'Lead Logs'!C:C,A37)</f>
      </c>
      <c r="C37" s="10">
        <f>COUNTIFS('Lead Logs'!B:B,"Hồng Nhung",'Lead Logs'!D:D,A37,'Lead Logs'!E:E,"Qualified")+COUNTIFS('Lead Logs'!B:B,"Hồng Nhung",'Lead Logs'!D:D,A37,'Lead Logs'!E:E,"Unqualified")</f>
      </c>
      <c r="D37" s="10">
        <f>D36+B37-C37</f>
      </c>
      <c r="E37" s="17">
        <f>IFERROR(C37/B37,"-")</f>
      </c>
      <c r="F37" s="18">
        <f>IFERROR(C37/(B37+D36),"-")</f>
      </c>
      <c r="G37" s="11">
        <f>COUNTIFS('Lead Logs'!I:I,"Kim Huệ",'Lead Logs'!J:J,A37)</f>
      </c>
      <c r="H37" s="11">
        <f>COUNTIFS('Lead Logs'!I:I,"Kim Huệ",'Lead Logs'!K:K,A37,'Lead Logs'!L:L,"Qualified")+COUNTIFS('Lead Logs'!I:I,"Kim Huệ",'Lead Logs'!K:K,A37,'Lead Logs'!L:L,"Unqualified")</f>
      </c>
      <c r="I37" s="11">
        <f>I36+G37-H37</f>
      </c>
      <c r="J37" s="19">
        <f>IFERROR(H37/G37,"-")</f>
      </c>
      <c r="K37" s="12">
        <f>IFERROR(H37/(G37+I36),"-")</f>
      </c>
      <c r="L37" s="14">
        <f>COUNTIFS('Lead Logs'!N:N,"Phương Linh",'Lead Logs'!O:O,A37)</f>
      </c>
      <c r="M37" s="14">
        <f>COUNTIFS('Lead Logs'!N:N,"Phương Linh",'Lead Logs'!P:P,A37,'Lead Logs'!Q:Q,"Qualified")+COUNTIFS('Lead Logs'!N:N,"Phương Linh",'Lead Logs'!P:P,A37,'Lead Logs'!Q:Q,"Unqualified")</f>
      </c>
      <c r="N37" s="14">
        <f>N36+L37-M37</f>
      </c>
      <c r="O37" s="13">
        <f>IFERROR(M37/L37,"-")</f>
      </c>
      <c r="P37" s="15">
        <f>IFERROR(M37/(L37+N36),"-")</f>
      </c>
    </row>
    <row r="38">
      <c r="A38" s="16">
        <v>46166</v>
      </c>
      <c r="B38" s="10">
        <f>COUNTIFS('Lead Logs'!B:B,"Hồng Nhung",'Lead Logs'!C:C,A38)</f>
      </c>
      <c r="C38" s="10">
        <f>COUNTIFS('Lead Logs'!B:B,"Hồng Nhung",'Lead Logs'!D:D,A38,'Lead Logs'!E:E,"Qualified")+COUNTIFS('Lead Logs'!B:B,"Hồng Nhung",'Lead Logs'!D:D,A38,'Lead Logs'!E:E,"Unqualified")</f>
      </c>
      <c r="D38" s="10">
        <f>D37+B38-C38</f>
      </c>
      <c r="E38" s="17">
        <f>IFERROR(C38/B38,"-")</f>
      </c>
      <c r="F38" s="18">
        <f>IFERROR(C38/(B38+D37),"-")</f>
      </c>
      <c r="G38" s="11">
        <f>COUNTIFS('Lead Logs'!I:I,"Kim Huệ",'Lead Logs'!J:J,A38)</f>
      </c>
      <c r="H38" s="11">
        <f>COUNTIFS('Lead Logs'!I:I,"Kim Huệ",'Lead Logs'!K:K,A38,'Lead Logs'!L:L,"Qualified")+COUNTIFS('Lead Logs'!I:I,"Kim Huệ",'Lead Logs'!K:K,A38,'Lead Logs'!L:L,"Unqualified")</f>
      </c>
      <c r="I38" s="11">
        <f>I37+G38-H38</f>
      </c>
      <c r="J38" s="19">
        <f>IFERROR(H38/G38,"-")</f>
      </c>
      <c r="K38" s="12">
        <f>IFERROR(H38/(G38+I37),"-")</f>
      </c>
      <c r="L38" s="14">
        <f>COUNTIFS('Lead Logs'!N:N,"Phương Linh",'Lead Logs'!O:O,A38)</f>
      </c>
      <c r="M38" s="14">
        <f>COUNTIFS('Lead Logs'!N:N,"Phương Linh",'Lead Logs'!P:P,A38,'Lead Logs'!Q:Q,"Qualified")+COUNTIFS('Lead Logs'!N:N,"Phương Linh",'Lead Logs'!P:P,A38,'Lead Logs'!Q:Q,"Unqualified")</f>
      </c>
      <c r="N38" s="14">
        <f>N37+L38-M38</f>
      </c>
      <c r="O38" s="13">
        <f>IFERROR(M38/L38,"-")</f>
      </c>
      <c r="P38" s="15">
        <f>IFERROR(M38/(L38+N37),"-")</f>
      </c>
    </row>
    <row r="39">
      <c r="A39" s="16">
        <v>46167</v>
      </c>
      <c r="B39" s="10">
        <f>COUNTIFS('Lead Logs'!B:B,"Hồng Nhung",'Lead Logs'!C:C,A39)</f>
      </c>
      <c r="C39" s="10">
        <f>COUNTIFS('Lead Logs'!B:B,"Hồng Nhung",'Lead Logs'!D:D,A39,'Lead Logs'!E:E,"Qualified")+COUNTIFS('Lead Logs'!B:B,"Hồng Nhung",'Lead Logs'!D:D,A39,'Lead Logs'!E:E,"Unqualified")</f>
      </c>
      <c r="D39" s="10">
        <f>D38+B39-C39</f>
      </c>
      <c r="E39" s="17">
        <f>IFERROR(C39/B39,"-")</f>
      </c>
      <c r="F39" s="18">
        <f>IFERROR(C39/(B39+D38),"-")</f>
      </c>
      <c r="G39" s="11">
        <f>COUNTIFS('Lead Logs'!I:I,"Kim Huệ",'Lead Logs'!J:J,A39)</f>
      </c>
      <c r="H39" s="11">
        <f>COUNTIFS('Lead Logs'!I:I,"Kim Huệ",'Lead Logs'!K:K,A39,'Lead Logs'!L:L,"Qualified")+COUNTIFS('Lead Logs'!I:I,"Kim Huệ",'Lead Logs'!K:K,A39,'Lead Logs'!L:L,"Unqualified")</f>
      </c>
      <c r="I39" s="11">
        <f>I38+G39-H39</f>
      </c>
      <c r="J39" s="19">
        <f>IFERROR(H39/G39,"-")</f>
      </c>
      <c r="K39" s="12">
        <f>IFERROR(H39/(G39+I38),"-")</f>
      </c>
      <c r="L39" s="14">
        <f>COUNTIFS('Lead Logs'!N:N,"Phương Linh",'Lead Logs'!O:O,A39)</f>
      </c>
      <c r="M39" s="14">
        <f>COUNTIFS('Lead Logs'!N:N,"Phương Linh",'Lead Logs'!P:P,A39,'Lead Logs'!Q:Q,"Qualified")+COUNTIFS('Lead Logs'!N:N,"Phương Linh",'Lead Logs'!P:P,A39,'Lead Logs'!Q:Q,"Unqualified")</f>
      </c>
      <c r="N39" s="14">
        <f>N38+L39-M39</f>
      </c>
      <c r="O39" s="13">
        <f>IFERROR(M39/L39,"-")</f>
      </c>
      <c r="P39" s="15">
        <f>IFERROR(M39/(L39+N38),"-")</f>
      </c>
    </row>
    <row r="40">
      <c r="A40" s="16">
        <v>46168</v>
      </c>
      <c r="B40" s="10">
        <f>COUNTIFS('Lead Logs'!B:B,"Hồng Nhung",'Lead Logs'!C:C,A40)</f>
      </c>
      <c r="C40" s="10">
        <f>COUNTIFS('Lead Logs'!B:B,"Hồng Nhung",'Lead Logs'!D:D,A40,'Lead Logs'!E:E,"Qualified")+COUNTIFS('Lead Logs'!B:B,"Hồng Nhung",'Lead Logs'!D:D,A40,'Lead Logs'!E:E,"Unqualified")</f>
      </c>
      <c r="D40" s="10">
        <f>D39+B40-C40</f>
      </c>
      <c r="E40" s="17">
        <f>IFERROR(C40/B40,"-")</f>
      </c>
      <c r="F40" s="18">
        <f>IFERROR(C40/(B40+D39),"-")</f>
      </c>
      <c r="G40" s="11">
        <f>COUNTIFS('Lead Logs'!I:I,"Kim Huệ",'Lead Logs'!J:J,A40)</f>
      </c>
      <c r="H40" s="11">
        <f>COUNTIFS('Lead Logs'!I:I,"Kim Huệ",'Lead Logs'!K:K,A40,'Lead Logs'!L:L,"Qualified")+COUNTIFS('Lead Logs'!I:I,"Kim Huệ",'Lead Logs'!K:K,A40,'Lead Logs'!L:L,"Unqualified")</f>
      </c>
      <c r="I40" s="11">
        <f>I39+G40-H40</f>
      </c>
      <c r="J40" s="19">
        <f>IFERROR(H40/G40,"-")</f>
      </c>
      <c r="K40" s="12">
        <f>IFERROR(H40/(G40+I39),"-")</f>
      </c>
      <c r="L40" s="14">
        <f>COUNTIFS('Lead Logs'!N:N,"Phương Linh",'Lead Logs'!O:O,A40)</f>
      </c>
      <c r="M40" s="14">
        <f>COUNTIFS('Lead Logs'!N:N,"Phương Linh",'Lead Logs'!P:P,A40,'Lead Logs'!Q:Q,"Qualified")+COUNTIFS('Lead Logs'!N:N,"Phương Linh",'Lead Logs'!P:P,A40,'Lead Logs'!Q:Q,"Unqualified")</f>
      </c>
      <c r="N40" s="14">
        <f>N39+L40-M40</f>
      </c>
      <c r="O40" s="13">
        <f>IFERROR(M40/L40,"-")</f>
      </c>
      <c r="P40" s="15">
        <f>IFERROR(M40/(L40+N39),"-")</f>
      </c>
    </row>
    <row r="41">
      <c r="A41" s="16">
        <v>46169</v>
      </c>
      <c r="B41" s="10">
        <f>COUNTIFS('Lead Logs'!B:B,"Hồng Nhung",'Lead Logs'!C:C,A41)</f>
      </c>
      <c r="C41" s="10">
        <f>COUNTIFS('Lead Logs'!B:B,"Hồng Nhung",'Lead Logs'!D:D,A41,'Lead Logs'!E:E,"Qualified")+COUNTIFS('Lead Logs'!B:B,"Hồng Nhung",'Lead Logs'!D:D,A41,'Lead Logs'!E:E,"Unqualified")</f>
      </c>
      <c r="D41" s="10">
        <f>D40+B41-C41</f>
      </c>
      <c r="E41" s="17">
        <f>IFERROR(C41/B41,"-")</f>
      </c>
      <c r="F41" s="18">
        <f>IFERROR(C41/(B41+D40),"-")</f>
      </c>
      <c r="G41" s="11">
        <f>COUNTIFS('Lead Logs'!I:I,"Kim Huệ",'Lead Logs'!J:J,A41)</f>
      </c>
      <c r="H41" s="11">
        <f>COUNTIFS('Lead Logs'!I:I,"Kim Huệ",'Lead Logs'!K:K,A41,'Lead Logs'!L:L,"Qualified")+COUNTIFS('Lead Logs'!I:I,"Kim Huệ",'Lead Logs'!K:K,A41,'Lead Logs'!L:L,"Unqualified")</f>
      </c>
      <c r="I41" s="11">
        <f>I40+G41-H41</f>
      </c>
      <c r="J41" s="19">
        <f>IFERROR(H41/G41,"-")</f>
      </c>
      <c r="K41" s="12">
        <f>IFERROR(H41/(G41+I40),"-")</f>
      </c>
      <c r="L41" s="14">
        <f>COUNTIFS('Lead Logs'!N:N,"Phương Linh",'Lead Logs'!O:O,A41)</f>
      </c>
      <c r="M41" s="14">
        <f>COUNTIFS('Lead Logs'!N:N,"Phương Linh",'Lead Logs'!P:P,A41,'Lead Logs'!Q:Q,"Qualified")+COUNTIFS('Lead Logs'!N:N,"Phương Linh",'Lead Logs'!P:P,A41,'Lead Logs'!Q:Q,"Unqualified")</f>
      </c>
      <c r="N41" s="14">
        <f>N40+L41-M41</f>
      </c>
      <c r="O41" s="13">
        <f>IFERROR(M41/L41,"-")</f>
      </c>
      <c r="P41" s="15">
        <f>IFERROR(M41/(L41+N40),"-")</f>
      </c>
    </row>
    <row r="42">
      <c r="A42" s="16">
        <v>46170</v>
      </c>
      <c r="B42" s="10">
        <f>COUNTIFS('Lead Logs'!B:B,"Hồng Nhung",'Lead Logs'!C:C,A42)</f>
      </c>
      <c r="C42" s="10">
        <f>COUNTIFS('Lead Logs'!B:B,"Hồng Nhung",'Lead Logs'!D:D,A42,'Lead Logs'!E:E,"Qualified")+COUNTIFS('Lead Logs'!B:B,"Hồng Nhung",'Lead Logs'!D:D,A42,'Lead Logs'!E:E,"Unqualified")</f>
      </c>
      <c r="D42" s="10">
        <f>D41+B42-C42</f>
      </c>
      <c r="E42" s="17">
        <f>IFERROR(C42/B42,"-")</f>
      </c>
      <c r="F42" s="18">
        <f>IFERROR(C42/(B42+D41),"-")</f>
      </c>
      <c r="G42" s="11">
        <f>COUNTIFS('Lead Logs'!I:I,"Kim Huệ",'Lead Logs'!J:J,A42)</f>
      </c>
      <c r="H42" s="11">
        <f>COUNTIFS('Lead Logs'!I:I,"Kim Huệ",'Lead Logs'!K:K,A42,'Lead Logs'!L:L,"Qualified")+COUNTIFS('Lead Logs'!I:I,"Kim Huệ",'Lead Logs'!K:K,A42,'Lead Logs'!L:L,"Unqualified")</f>
      </c>
      <c r="I42" s="11">
        <f>I41+G42-H42</f>
      </c>
      <c r="J42" s="19">
        <f>IFERROR(H42/G42,"-")</f>
      </c>
      <c r="K42" s="12">
        <f>IFERROR(H42/(G42+I41),"-")</f>
      </c>
      <c r="L42" s="14">
        <f>COUNTIFS('Lead Logs'!N:N,"Phương Linh",'Lead Logs'!O:O,A42)</f>
      </c>
      <c r="M42" s="14">
        <f>COUNTIFS('Lead Logs'!N:N,"Phương Linh",'Lead Logs'!P:P,A42,'Lead Logs'!Q:Q,"Qualified")+COUNTIFS('Lead Logs'!N:N,"Phương Linh",'Lead Logs'!P:P,A42,'Lead Logs'!Q:Q,"Unqualified")</f>
      </c>
      <c r="N42" s="14">
        <f>N41+L42-M42</f>
      </c>
      <c r="O42" s="13">
        <f>IFERROR(M42/L42,"-")</f>
      </c>
      <c r="P42" s="15">
        <f>IFERROR(M42/(L42+N41),"-")</f>
      </c>
    </row>
    <row r="43">
      <c r="A43" s="16">
        <v>46171</v>
      </c>
      <c r="B43" s="10">
        <f>COUNTIFS('Lead Logs'!B:B,"Hồng Nhung",'Lead Logs'!C:C,A43)</f>
      </c>
      <c r="C43" s="10">
        <f>COUNTIFS('Lead Logs'!B:B,"Hồng Nhung",'Lead Logs'!D:D,A43,'Lead Logs'!E:E,"Qualified")+COUNTIFS('Lead Logs'!B:B,"Hồng Nhung",'Lead Logs'!D:D,A43,'Lead Logs'!E:E,"Unqualified")</f>
      </c>
      <c r="D43" s="10">
        <f>D42+B43-C43</f>
      </c>
      <c r="E43" s="17">
        <f>IFERROR(C43/B43,"-")</f>
      </c>
      <c r="F43" s="18">
        <f>IFERROR(C43/(B43+D42),"-")</f>
      </c>
      <c r="G43" s="11">
        <f>COUNTIFS('Lead Logs'!I:I,"Kim Huệ",'Lead Logs'!J:J,A43)</f>
      </c>
      <c r="H43" s="11">
        <f>COUNTIFS('Lead Logs'!I:I,"Kim Huệ",'Lead Logs'!K:K,A43,'Lead Logs'!L:L,"Qualified")+COUNTIFS('Lead Logs'!I:I,"Kim Huệ",'Lead Logs'!K:K,A43,'Lead Logs'!L:L,"Unqualified")</f>
      </c>
      <c r="I43" s="11">
        <f>I42+G43-H43</f>
      </c>
      <c r="J43" s="19">
        <f>IFERROR(H43/G43,"-")</f>
      </c>
      <c r="K43" s="12">
        <f>IFERROR(H43/(G43+I42),"-")</f>
      </c>
      <c r="L43" s="14">
        <f>COUNTIFS('Lead Logs'!N:N,"Phương Linh",'Lead Logs'!O:O,A43)</f>
      </c>
      <c r="M43" s="14">
        <f>COUNTIFS('Lead Logs'!N:N,"Phương Linh",'Lead Logs'!P:P,A43,'Lead Logs'!Q:Q,"Qualified")+COUNTIFS('Lead Logs'!N:N,"Phương Linh",'Lead Logs'!P:P,A43,'Lead Logs'!Q:Q,"Unqualified")</f>
      </c>
      <c r="N43" s="14">
        <f>N42+L43-M43</f>
      </c>
      <c r="O43" s="13">
        <f>IFERROR(M43/L43,"-")</f>
      </c>
      <c r="P43" s="15">
        <f>IFERROR(M43/(L43+N42),"-")</f>
      </c>
    </row>
    <row r="44">
      <c r="A44" s="16">
        <v>46172</v>
      </c>
      <c r="B44" s="10">
        <f>COUNTIFS('Lead Logs'!B:B,"Hồng Nhung",'Lead Logs'!C:C,A44)</f>
      </c>
      <c r="C44" s="10">
        <f>COUNTIFS('Lead Logs'!B:B,"Hồng Nhung",'Lead Logs'!D:D,A44,'Lead Logs'!E:E,"Qualified")+COUNTIFS('Lead Logs'!B:B,"Hồng Nhung",'Lead Logs'!D:D,A44,'Lead Logs'!E:E,"Unqualified")</f>
      </c>
      <c r="D44" s="10">
        <f>D43+B44-C44</f>
      </c>
      <c r="E44" s="17">
        <f>IFERROR(C44/B44,"-")</f>
      </c>
      <c r="F44" s="18">
        <f>IFERROR(C44/(B44+D43),"-")</f>
      </c>
      <c r="G44" s="11">
        <f>COUNTIFS('Lead Logs'!I:I,"Kim Huệ",'Lead Logs'!J:J,A44)</f>
      </c>
      <c r="H44" s="11">
        <f>COUNTIFS('Lead Logs'!I:I,"Kim Huệ",'Lead Logs'!K:K,A44,'Lead Logs'!L:L,"Qualified")+COUNTIFS('Lead Logs'!I:I,"Kim Huệ",'Lead Logs'!K:K,A44,'Lead Logs'!L:L,"Unqualified")</f>
      </c>
      <c r="I44" s="11">
        <f>I43+G44-H44</f>
      </c>
      <c r="J44" s="19">
        <f>IFERROR(H44/G44,"-")</f>
      </c>
      <c r="K44" s="12">
        <f>IFERROR(H44/(G44+I43),"-")</f>
      </c>
      <c r="L44" s="14">
        <f>COUNTIFS('Lead Logs'!N:N,"Phương Linh",'Lead Logs'!O:O,A44)</f>
      </c>
      <c r="M44" s="14">
        <f>COUNTIFS('Lead Logs'!N:N,"Phương Linh",'Lead Logs'!P:P,A44,'Lead Logs'!Q:Q,"Qualified")+COUNTIFS('Lead Logs'!N:N,"Phương Linh",'Lead Logs'!P:P,A44,'Lead Logs'!Q:Q,"Unqualified")</f>
      </c>
      <c r="N44" s="14">
        <f>N43+L44-M44</f>
      </c>
      <c r="O44" s="13">
        <f>IFERROR(M44/L44,"-")</f>
      </c>
      <c r="P44" s="15">
        <f>IFERROR(M44/(L44+N43),"-")</f>
      </c>
    </row>
  </sheetData>
  <mergeCells>
    <mergeCell ref="B1:F1"/>
    <mergeCell ref="G1:K1"/>
    <mergeCell ref="A1:A2"/>
    <mergeCell ref="L1:P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